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H:\Boston University\Teaching\AD 715-Decision-Making\2014 B-Sim NEW\v400-2014-09-26\"/>
    </mc:Choice>
  </mc:AlternateContent>
  <bookViews>
    <workbookView xWindow="0" yWindow="0" windowWidth="24000" windowHeight="14820" tabRatio="781" activeTab="4"/>
  </bookViews>
  <sheets>
    <sheet name="Assumptions" sheetId="9" r:id="rId1"/>
    <sheet name="36-Mo-Fin-Pr" sheetId="4" r:id="rId2"/>
    <sheet name="Pro-Forma Income statement" sheetId="1" r:id="rId3"/>
    <sheet name="Pro-Forma CF" sheetId="2" r:id="rId4"/>
    <sheet name="Financial Statement" sheetId="3" r:id="rId5"/>
    <sheet name="Help Table" sheetId="6" state="hidden" r:id="rId6"/>
  </sheets>
  <definedNames>
    <definedName name="AnFixcost">'36-Mo-Fin-Pr'!$B$61:$D$70</definedName>
    <definedName name="PrFFY1">'36-Mo-Fin-Pr'!$C$75:$Q$148</definedName>
    <definedName name="PrFFY2">'36-Mo-Fin-Pr'!$C$155:$Q$228</definedName>
    <definedName name="PrFFY3">'36-Mo-Fin-Pr'!$C$235:$Q$308</definedName>
  </definedNames>
  <calcPr calcId="152511" calcMode="autoNoTable"/>
</workbook>
</file>

<file path=xl/calcChain.xml><?xml version="1.0" encoding="utf-8"?>
<calcChain xmlns="http://schemas.openxmlformats.org/spreadsheetml/2006/main">
  <c r="C18" i="2" l="1"/>
  <c r="C16" i="2" l="1"/>
  <c r="B33" i="3" l="1"/>
  <c r="B46" i="3" l="1"/>
  <c r="E27" i="3" l="1"/>
  <c r="B50" i="3"/>
  <c r="C25" i="1" l="1"/>
  <c r="D19" i="1"/>
  <c r="C19" i="1"/>
  <c r="E19" i="1" s="1"/>
  <c r="B19" i="1"/>
  <c r="D18" i="1"/>
  <c r="C18" i="1"/>
  <c r="E18" i="1" s="1"/>
  <c r="B18" i="1"/>
  <c r="D17" i="1"/>
  <c r="C17" i="1"/>
  <c r="E17" i="1" s="1"/>
  <c r="B17" i="1"/>
  <c r="D16" i="1"/>
  <c r="C16" i="1"/>
  <c r="E16" i="1" s="1"/>
  <c r="B16" i="1"/>
  <c r="D15" i="1"/>
  <c r="C15" i="1"/>
  <c r="E15" i="1" s="1"/>
  <c r="B15" i="1"/>
  <c r="D14" i="1"/>
  <c r="D20" i="1" s="1"/>
  <c r="D22" i="1" s="1"/>
  <c r="C14" i="1"/>
  <c r="C20" i="1" s="1"/>
  <c r="C22" i="1" s="1"/>
  <c r="B14" i="1"/>
  <c r="B20" i="1" s="1"/>
  <c r="D11" i="1"/>
  <c r="C11" i="1"/>
  <c r="E11" i="1" s="1"/>
  <c r="B11" i="1"/>
  <c r="D10" i="1"/>
  <c r="D12" i="1" s="1"/>
  <c r="D23" i="1" s="1"/>
  <c r="D27" i="1" s="1"/>
  <c r="C10" i="1"/>
  <c r="C12" i="1" s="1"/>
  <c r="C23" i="1" s="1"/>
  <c r="B10" i="1"/>
  <c r="B12" i="1" s="1"/>
  <c r="D7" i="1"/>
  <c r="B7" i="1"/>
  <c r="D6" i="1"/>
  <c r="D26" i="1" s="1"/>
  <c r="C6" i="1"/>
  <c r="C26" i="1" s="1"/>
  <c r="B6" i="1"/>
  <c r="B26" i="1" s="1"/>
  <c r="D5" i="1"/>
  <c r="D25" i="1" s="1"/>
  <c r="C5" i="1"/>
  <c r="B5" i="1"/>
  <c r="B25" i="1" s="1"/>
  <c r="E25" i="1" s="1"/>
  <c r="D4" i="1"/>
  <c r="C4" i="1"/>
  <c r="C7" i="1" s="1"/>
  <c r="B4" i="1"/>
  <c r="B23" i="1" l="1"/>
  <c r="E12" i="1"/>
  <c r="B22" i="1"/>
  <c r="E20" i="1"/>
  <c r="E22" i="1" s="1"/>
  <c r="E26" i="1"/>
  <c r="C27" i="1"/>
  <c r="E10" i="1"/>
  <c r="E14" i="1"/>
  <c r="E16" i="2"/>
  <c r="D16" i="2"/>
  <c r="E15" i="2"/>
  <c r="D15" i="2"/>
  <c r="C15" i="2"/>
  <c r="E14" i="2"/>
  <c r="D14" i="2"/>
  <c r="C14" i="2"/>
  <c r="E13" i="2"/>
  <c r="D13" i="2"/>
  <c r="C13" i="2"/>
  <c r="E12" i="2"/>
  <c r="D12" i="2"/>
  <c r="C12" i="2"/>
  <c r="E10" i="2"/>
  <c r="D10" i="2"/>
  <c r="C10" i="2"/>
  <c r="E9" i="2"/>
  <c r="D9" i="2"/>
  <c r="C9" i="2"/>
  <c r="E5" i="2"/>
  <c r="D5" i="2"/>
  <c r="C5" i="2"/>
  <c r="B27" i="1" l="1"/>
  <c r="E27" i="1" s="1"/>
  <c r="E23" i="1"/>
  <c r="E17" i="2"/>
  <c r="D17" i="2"/>
  <c r="C17" i="2"/>
  <c r="E20" i="2"/>
  <c r="C20" i="2"/>
  <c r="E4" i="2"/>
  <c r="C7" i="2"/>
  <c r="D4" i="2"/>
  <c r="C21" i="2" l="1"/>
  <c r="D3" i="2" s="1"/>
  <c r="D7" i="2" s="1"/>
  <c r="D20" i="2"/>
  <c r="C4" i="2"/>
  <c r="D21" i="2" l="1"/>
  <c r="E3" i="2" s="1"/>
  <c r="E7" i="2" s="1"/>
  <c r="E21" i="2" s="1"/>
  <c r="E28" i="3"/>
  <c r="B28" i="3"/>
  <c r="B52" i="3"/>
  <c r="B42" i="3"/>
  <c r="B11" i="3"/>
  <c r="E11" i="3" s="1"/>
  <c r="E12" i="3" s="1"/>
  <c r="B5" i="3"/>
  <c r="E7" i="3" s="1"/>
  <c r="E8" i="3" s="1"/>
  <c r="B24" i="3"/>
  <c r="B19" i="3"/>
  <c r="B18" i="3"/>
  <c r="B26" i="3"/>
  <c r="B25" i="3"/>
  <c r="B27" i="3"/>
  <c r="B23" i="3"/>
  <c r="E14" i="3" l="1"/>
  <c r="B8" i="3"/>
  <c r="B14" i="3" s="1"/>
  <c r="B20" i="3"/>
  <c r="E29" i="3"/>
  <c r="B40" i="3"/>
  <c r="B29" i="3"/>
  <c r="B49" i="3"/>
  <c r="B54" i="3" s="1"/>
  <c r="B31" i="3" l="1"/>
  <c r="B35" i="3" s="1"/>
</calcChain>
</file>

<file path=xl/sharedStrings.xml><?xml version="1.0" encoding="utf-8"?>
<sst xmlns="http://schemas.openxmlformats.org/spreadsheetml/2006/main" count="790" uniqueCount="226">
  <si>
    <t>FY-1</t>
  </si>
  <si>
    <t>FY-2</t>
  </si>
  <si>
    <t>FY-3</t>
  </si>
  <si>
    <t>Tax (%)</t>
  </si>
  <si>
    <t>Tax Expense</t>
  </si>
  <si>
    <t>a. Rent</t>
  </si>
  <si>
    <t>Total Fixed Costs</t>
  </si>
  <si>
    <t>Other Income</t>
  </si>
  <si>
    <t>Other Expense</t>
  </si>
  <si>
    <t>Net Income From Operations</t>
  </si>
  <si>
    <t>PRO FORMA INCOME PROJECTION</t>
  </si>
  <si>
    <t>PRO FORMA CASH FLOW STATEMENT</t>
  </si>
  <si>
    <t>a. Sales Revenue</t>
  </si>
  <si>
    <t>TOTAL CASH AVAILABLE</t>
  </si>
  <si>
    <t>CASH PAYMENTS</t>
  </si>
  <si>
    <t>VARIABLE EXPENSES</t>
  </si>
  <si>
    <t>FIXED EXPENSES</t>
  </si>
  <si>
    <t>a.Rent</t>
  </si>
  <si>
    <t>TOTAL CASH PAID OUT</t>
  </si>
  <si>
    <t>ENDING CASH BALANCE</t>
  </si>
  <si>
    <t>Depreciation</t>
  </si>
  <si>
    <t>Insurance</t>
  </si>
  <si>
    <t>Fixed Costs</t>
  </si>
  <si>
    <t>Revenue</t>
  </si>
  <si>
    <t>Gross Profit Margin (contribution)</t>
  </si>
  <si>
    <t>Total 3 Years</t>
  </si>
  <si>
    <t>Income Statement</t>
  </si>
  <si>
    <t>Tax Rate</t>
  </si>
  <si>
    <t>Cash Flow Projection</t>
  </si>
  <si>
    <t>Expenses (Variable Costs)</t>
  </si>
  <si>
    <t>Beginning CF</t>
  </si>
  <si>
    <t>Business Financial Statement</t>
  </si>
  <si>
    <t>Assets</t>
  </si>
  <si>
    <t>Dollars</t>
  </si>
  <si>
    <t>Receivables</t>
  </si>
  <si>
    <t>Interest Income</t>
  </si>
  <si>
    <t>Add back depreciation</t>
  </si>
  <si>
    <t>Define Cash Balance deficiencies</t>
  </si>
  <si>
    <t>Ending Cash Balance --&gt; Beginning Cash Balance (year+1)</t>
  </si>
  <si>
    <t>Balance Sheet</t>
  </si>
  <si>
    <t>Profit and Loss Statement for the period</t>
  </si>
  <si>
    <t>Contingent Liabilities (not included in the BS)</t>
  </si>
  <si>
    <t>Reconcilement of net worth (earned Surplus)</t>
  </si>
  <si>
    <t>Detail of Inventory</t>
  </si>
  <si>
    <t>Cash Flow From Investing Activities</t>
  </si>
  <si>
    <t>Cash flow from Financing Activities</t>
  </si>
  <si>
    <t>Operating Expenses:</t>
  </si>
  <si>
    <t>RECONCILEMENT OF NET WORTH OR EARNED SURPLUS</t>
  </si>
  <si>
    <t>Net worth or earned surplus at the beginning of the period</t>
  </si>
  <si>
    <t>Add: Net profit or Deduct: Loss</t>
  </si>
  <si>
    <t xml:space="preserve">Total: </t>
  </si>
  <si>
    <t>Other Additions (Describe)</t>
  </si>
  <si>
    <t>Less: Withdrawals or Dividends</t>
  </si>
  <si>
    <t>Other Deductions (Describe)</t>
  </si>
  <si>
    <t>Total Deductions:</t>
  </si>
  <si>
    <t>Net Worth or Capital Funds on This Financial Statement</t>
  </si>
  <si>
    <t>Depreciation Expense</t>
  </si>
  <si>
    <t>Cash Flow</t>
  </si>
  <si>
    <t>Beginning Cash flow</t>
  </si>
  <si>
    <t xml:space="preserve">Add back depreciation </t>
  </si>
  <si>
    <t>Table Used</t>
  </si>
  <si>
    <t>Description</t>
  </si>
  <si>
    <t xml:space="preserve">1. Pro-forma Income Statement </t>
  </si>
  <si>
    <t>2. Pro-Forma Statement of Cash Flows</t>
  </si>
  <si>
    <t>3. Business Financial Statement</t>
  </si>
  <si>
    <t>2. Business Financial Statement</t>
  </si>
  <si>
    <t>1. Pro-Forma Statement of Cash Flows</t>
  </si>
  <si>
    <t>The depreciaton is added back to the cash flow as it is a non-cash item.</t>
  </si>
  <si>
    <t>= Income Profit (Loss) Before Taxes</t>
  </si>
  <si>
    <t>=Total Operating Expenses</t>
  </si>
  <si>
    <t>Total Expenses (= Direct + Oper Exp)</t>
  </si>
  <si>
    <t>Taxes (Profit)</t>
  </si>
  <si>
    <t>Earning (Profit) Before Taxes</t>
  </si>
  <si>
    <t>Net Income (Profit After Taxes)</t>
  </si>
  <si>
    <r>
      <rPr>
        <b/>
        <sz val="8"/>
        <color theme="1"/>
        <rFont val="Geneva"/>
      </rPr>
      <t>Note:</t>
    </r>
    <r>
      <rPr>
        <sz val="8"/>
        <color theme="1"/>
        <rFont val="Geneva"/>
      </rPr>
      <t xml:space="preserve"> Insurance expense shall be estimated based on the country and the market in which a student is planning to operate his/her business. Evaluating current insurance premiums in respective countries/ regions is crucial for the estimation of insurance expense.  </t>
    </r>
  </si>
  <si>
    <t>PRO-FORMA INCOME STATEMENT</t>
  </si>
  <si>
    <t>PRO-FORMA CASH FLOW STATEMENT</t>
  </si>
  <si>
    <r>
      <rPr>
        <b/>
        <sz val="8"/>
        <color theme="1"/>
        <rFont val="Geneva"/>
      </rPr>
      <t>Note</t>
    </r>
    <r>
      <rPr>
        <sz val="8"/>
        <color theme="1"/>
        <rFont val="Geneva"/>
      </rPr>
      <t>: Different methods for depreciation/ ammortization shall be chosen given different nature of fixed and intangible assets. Students shall be able to identify and justify methods that they choose.</t>
    </r>
  </si>
  <si>
    <t>ASSUMPTIONS</t>
  </si>
  <si>
    <t>BEGINNING CASH BALANCE</t>
  </si>
  <si>
    <t>Depreciation expense is estimated based on the cost of the equipment. The values for the assumed growth rates are : FY-1 = 1.00; FY-2 = 1.11; FY-3 = 1.20</t>
  </si>
  <si>
    <t>The amount of insurance that was incurred/used up/expired during the period of time, The amount will vary for each individual project and will be based on the terms of the insurance contracts. The values for the assumed growth rates are : FY-1 = 1.00; FY-2 = 1.11; FY-3 = 1.20</t>
  </si>
  <si>
    <t xml:space="preserve">The value of the tax rate is imported from the main simulation </t>
  </si>
  <si>
    <t>Beginning cash flow is zero in the beginning of FY-1 (for FY-2 and FY-3 the ending cashflows of the previous years have been used)</t>
  </si>
  <si>
    <t xml:space="preserve">Insurance expense shall be estimated based on the country and the market in which a student is planning to operate his/her business. Evaluating current insurance premiums in respective countries/ regions is crucial for the estimation of insurance expense.  </t>
  </si>
  <si>
    <t>b. Employees salaries</t>
  </si>
  <si>
    <t>c. Utilities&amp;Other</t>
  </si>
  <si>
    <t>d. Marketing Costs</t>
  </si>
  <si>
    <t>e. Loans Payments</t>
  </si>
  <si>
    <t>e.Loan Payments</t>
  </si>
  <si>
    <t>b.Employee Salaries</t>
  </si>
  <si>
    <t>Total Liabilities And Owners Equity</t>
  </si>
  <si>
    <t xml:space="preserve">     Cash </t>
  </si>
  <si>
    <t>Fixed Assets:</t>
  </si>
  <si>
    <t xml:space="preserve">     Net Machinery and Equipment </t>
  </si>
  <si>
    <t>Total Assets</t>
  </si>
  <si>
    <r>
      <t xml:space="preserve">          </t>
    </r>
    <r>
      <rPr>
        <sz val="8"/>
        <color theme="1"/>
        <rFont val="Geneva"/>
      </rPr>
      <t>Total Current Assets</t>
    </r>
  </si>
  <si>
    <t xml:space="preserve">     Accounts receivable</t>
  </si>
  <si>
    <t xml:space="preserve">     Inventory</t>
  </si>
  <si>
    <t>Current assets:</t>
  </si>
  <si>
    <t>Current liabilities:</t>
  </si>
  <si>
    <t xml:space="preserve">    Current portion of long-term debt</t>
  </si>
  <si>
    <t xml:space="preserve">    Line of credit</t>
  </si>
  <si>
    <t xml:space="preserve">    Accounts payable</t>
  </si>
  <si>
    <t xml:space="preserve">          Total Current Liabilities</t>
  </si>
  <si>
    <t>Owners' equity:</t>
  </si>
  <si>
    <t xml:space="preserve">     Private Investment</t>
  </si>
  <si>
    <t xml:space="preserve">          Total Owner's Equity</t>
  </si>
  <si>
    <t>Liabilities and Owners' Equity</t>
  </si>
  <si>
    <t>Operating income</t>
  </si>
  <si>
    <t>Less: Cost of sales</t>
  </si>
  <si>
    <t>Net sales (net of returns and allowances)</t>
  </si>
  <si>
    <t xml:space="preserve">     Rent</t>
  </si>
  <si>
    <t xml:space="preserve">     Salaries</t>
  </si>
  <si>
    <t xml:space="preserve">     Utilities</t>
  </si>
  <si>
    <t xml:space="preserve">     Marketing </t>
  </si>
  <si>
    <t xml:space="preserve">     Interest expense</t>
  </si>
  <si>
    <t xml:space="preserve">          Total operating expenses </t>
  </si>
  <si>
    <t xml:space="preserve">     Other expenses</t>
  </si>
  <si>
    <t>Income before taxes</t>
  </si>
  <si>
    <t xml:space="preserve">     Federal and other taxes (35%)</t>
  </si>
  <si>
    <t>Net Income</t>
  </si>
  <si>
    <t>Statement of Cash Flow</t>
  </si>
  <si>
    <t xml:space="preserve">   Add (deduct) items not affecting cash:</t>
  </si>
  <si>
    <t xml:space="preserve">       Depreciation expense</t>
  </si>
  <si>
    <t xml:space="preserve">       Increase (decrease) in accounts receivable</t>
  </si>
  <si>
    <t xml:space="preserve">       Increase (decrease) in inventory</t>
  </si>
  <si>
    <t xml:space="preserve">   Net cash provided (used) by operating activities</t>
  </si>
  <si>
    <t xml:space="preserve">   Cash paid for fixed assets</t>
  </si>
  <si>
    <t>Cash Flows from Financing Activities:</t>
  </si>
  <si>
    <t>Cash Flows from Investing Activities:</t>
  </si>
  <si>
    <t>Cash Flows for Operating Activities:</t>
  </si>
  <si>
    <t xml:space="preserve">   Cash received from private investor</t>
  </si>
  <si>
    <t>As Of Dec. 31 FY-1</t>
  </si>
  <si>
    <t>For the Period Ended Dec. 31 FY-1</t>
  </si>
  <si>
    <t>Sales Projections</t>
  </si>
  <si>
    <t>Sales Projections: Products sold per month (for FY-1, FY-2, and FY-3)</t>
  </si>
  <si>
    <t>Products</t>
  </si>
  <si>
    <t>Jan</t>
  </si>
  <si>
    <t>Feb</t>
  </si>
  <si>
    <t>Mar</t>
  </si>
  <si>
    <t>Apr</t>
  </si>
  <si>
    <t>May</t>
  </si>
  <si>
    <t>Jun</t>
  </si>
  <si>
    <t>Jul</t>
  </si>
  <si>
    <t>Aug</t>
  </si>
  <si>
    <t>Sep</t>
  </si>
  <si>
    <t>Oct</t>
  </si>
  <si>
    <t>Nov</t>
  </si>
  <si>
    <t>Dec</t>
  </si>
  <si>
    <t>Overall</t>
  </si>
  <si>
    <t>BR01-01,</t>
  </si>
  <si>
    <t>BR01-02,</t>
  </si>
  <si>
    <t>BR01-03,</t>
  </si>
  <si>
    <t>BR01-04,</t>
  </si>
  <si>
    <t>BR01-05,</t>
  </si>
  <si>
    <t>BR01-06,</t>
  </si>
  <si>
    <t>BR01-07,</t>
  </si>
  <si>
    <t>BR01-08,</t>
  </si>
  <si>
    <t>BR01-09,</t>
  </si>
  <si>
    <t>Total Products</t>
  </si>
  <si>
    <t>per Months</t>
  </si>
  <si>
    <t>Prices and Variable Costs per product</t>
  </si>
  <si>
    <t xml:space="preserve">Variable Costs per Unit </t>
  </si>
  <si>
    <t>Product ID</t>
  </si>
  <si>
    <t>Distribution</t>
  </si>
  <si>
    <t>Name</t>
  </si>
  <si>
    <t>Materials</t>
  </si>
  <si>
    <t>Labor</t>
  </si>
  <si>
    <t>Others</t>
  </si>
  <si>
    <t>Prices</t>
  </si>
  <si>
    <t>[retail]</t>
  </si>
  <si>
    <t>Pilsner</t>
  </si>
  <si>
    <t>Bavarian Lager</t>
  </si>
  <si>
    <t>Light Wheat</t>
  </si>
  <si>
    <t>Red Wheat</t>
  </si>
  <si>
    <t>Pale Ale</t>
  </si>
  <si>
    <t>Bock Dark</t>
  </si>
  <si>
    <t>[wholesale]</t>
  </si>
  <si>
    <t>Special Offer</t>
  </si>
  <si>
    <t xml:space="preserve">Annual Fixed Costs </t>
  </si>
  <si>
    <t>Employees salaries</t>
  </si>
  <si>
    <t>Utilities&amp;Other</t>
  </si>
  <si>
    <t>Marketing Costs</t>
  </si>
  <si>
    <t>Rent</t>
  </si>
  <si>
    <t>Loans Payments</t>
  </si>
  <si>
    <t xml:space="preserve">Total Fixed Costs </t>
  </si>
  <si>
    <t>Total Current Assets</t>
  </si>
  <si>
    <t>Private Investment</t>
  </si>
  <si>
    <t>12 Month Proforma: FY-1</t>
  </si>
  <si>
    <t>Year</t>
  </si>
  <si>
    <t xml:space="preserve"> FY-1</t>
  </si>
  <si>
    <t>Month</t>
  </si>
  <si>
    <t>Total</t>
  </si>
  <si>
    <t>Price per unit</t>
  </si>
  <si>
    <t xml:space="preserve">Variable cost </t>
  </si>
  <si>
    <t>Sales Volume</t>
  </si>
  <si>
    <t>Expenses</t>
  </si>
  <si>
    <t>Contribution</t>
  </si>
  <si>
    <t>Total Revenue</t>
  </si>
  <si>
    <t>Total Expenses</t>
  </si>
  <si>
    <t>Total Contribution</t>
  </si>
  <si>
    <t xml:space="preserve">Fixed Costs </t>
  </si>
  <si>
    <t>FY-1 (Total)</t>
  </si>
  <si>
    <t>Loan Payments</t>
  </si>
  <si>
    <t>Profit (Before Taxes)</t>
  </si>
  <si>
    <t>Profit taxes</t>
  </si>
  <si>
    <t>Cumulative Profit</t>
  </si>
  <si>
    <t>Profit (After Taxes)</t>
  </si>
  <si>
    <t>12 Month Proforma: FY-2</t>
  </si>
  <si>
    <t xml:space="preserve"> FY-2</t>
  </si>
  <si>
    <t>FY-2 (Total)</t>
  </si>
  <si>
    <t>12 Month Proforma: FY-3</t>
  </si>
  <si>
    <t xml:space="preserve">Total </t>
  </si>
  <si>
    <t>FY-3 (Total)</t>
  </si>
  <si>
    <t>Profit Taxes</t>
  </si>
  <si>
    <t xml:space="preserve"> FY-3</t>
  </si>
  <si>
    <t>Financial Summary: per FY and Overall</t>
  </si>
  <si>
    <t xml:space="preserve"> 36 Months</t>
  </si>
  <si>
    <t>36 Months</t>
  </si>
  <si>
    <t>Net increase (decrease) in cash for the year</t>
  </si>
  <si>
    <t>f. Depreciation</t>
  </si>
  <si>
    <t>CORPORATE TAX</t>
  </si>
  <si>
    <t>CASH RECEIPTS</t>
  </si>
  <si>
    <t>Taxes Paid</t>
  </si>
  <si>
    <t>Net Income After Tax</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</si>
</sst>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F800]dddd\,\ mmmm\ dd\,\ yyyy"/>
    <numFmt numFmtId="166" formatCode="_(&quot;$&quot;* #,##0_);_(&quot;$&quot;* \(#,##0\);_(&quot;$&quot;* &quot;-&quot;??_);_(@_)"/>
  </numFmts>
  <fonts count="21">
    <font>
      <sz val="11"/>
      <color theme="1"/>
      <name val="Calibri"/>
      <family val="2"/>
      <scheme val="minor"/>
    </font>
    <font>
      <sz val="11"/>
      <color theme="1"/>
      <name val="Calibri"/>
      <family val="2"/>
      <scheme val="minor"/>
    </font>
    <font>
      <sz val="8"/>
      <name val="Geneva"/>
    </font>
    <font>
      <sz val="8"/>
      <color theme="1"/>
      <name val="Geneva"/>
    </font>
    <font>
      <b/>
      <i/>
      <sz val="8"/>
      <color theme="1"/>
      <name val="Geneva"/>
    </font>
    <font>
      <b/>
      <sz val="8"/>
      <color theme="1"/>
      <name val="Geneva"/>
    </font>
    <font>
      <b/>
      <sz val="8"/>
      <color rgb="FF0000FF"/>
      <name val="Geneva"/>
    </font>
    <font>
      <b/>
      <sz val="8"/>
      <name val="Geneva"/>
    </font>
    <font>
      <b/>
      <i/>
      <sz val="8"/>
      <name val="Geneva"/>
    </font>
    <font>
      <b/>
      <u/>
      <sz val="11"/>
      <color theme="1"/>
      <name val="Calibri"/>
      <family val="2"/>
      <scheme val="minor"/>
    </font>
    <font>
      <b/>
      <i/>
      <u/>
      <sz val="8"/>
      <color rgb="FF0000FF"/>
      <name val="Geneva"/>
    </font>
    <font>
      <b/>
      <u/>
      <sz val="8"/>
      <color rgb="FF0000FF"/>
      <name val="Geneva"/>
    </font>
    <font>
      <b/>
      <u/>
      <sz val="8"/>
      <color rgb="FFFF0000"/>
      <name val="Geneva"/>
    </font>
    <font>
      <sz val="10"/>
      <name val="Arial"/>
      <family val="2"/>
    </font>
    <font>
      <b/>
      <i/>
      <sz val="8"/>
      <color rgb="FF0000FF"/>
      <name val="Geneva"/>
    </font>
    <font>
      <b/>
      <sz val="12"/>
      <color theme="1"/>
      <name val="Geneva"/>
    </font>
    <font>
      <b/>
      <u/>
      <sz val="8"/>
      <name val="Geneva"/>
    </font>
    <font>
      <sz val="8"/>
      <color rgb="FFFF0000"/>
      <name val="Geneva"/>
    </font>
    <font>
      <sz val="10"/>
      <name val="Geneva"/>
    </font>
    <font>
      <u/>
      <sz val="8"/>
      <color rgb="FFFF0000"/>
      <name val="Geneva"/>
    </font>
    <font>
      <u/>
      <sz val="8"/>
      <color rgb="FF0000FF"/>
      <name val="Geneva"/>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right style="medium">
        <color indexed="64"/>
      </right>
      <top/>
      <bottom/>
      <diagonal/>
    </border>
    <border>
      <left style="thin">
        <color indexed="64"/>
      </left>
      <right/>
      <top/>
      <bottom/>
      <diagonal/>
    </border>
    <border>
      <left style="medium">
        <color indexed="64"/>
      </left>
      <right/>
      <top style="medium">
        <color indexed="64"/>
      </top>
      <bottom style="double">
        <color indexed="64"/>
      </bottom>
      <diagonal/>
    </border>
    <border>
      <left style="medium">
        <color indexed="64"/>
      </left>
      <right/>
      <top style="thin">
        <color indexed="64"/>
      </top>
      <bottom style="double">
        <color indexed="64"/>
      </bottom>
      <diagonal/>
    </border>
    <border>
      <left style="thin">
        <color indexed="64"/>
      </left>
      <right style="medium">
        <color indexed="64"/>
      </right>
      <top style="medium">
        <color indexed="64"/>
      </top>
      <bottom style="double">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right/>
      <top/>
      <bottom style="double">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3" fillId="0" borderId="0"/>
    <xf numFmtId="165" fontId="18" fillId="0" borderId="0"/>
    <xf numFmtId="40" fontId="18" fillId="0" borderId="0" applyFont="0" applyFill="0" applyBorder="0" applyAlignment="0" applyProtection="0"/>
    <xf numFmtId="8" fontId="18" fillId="0" borderId="0" applyFont="0" applyFill="0" applyBorder="0" applyAlignment="0" applyProtection="0"/>
    <xf numFmtId="9" fontId="18" fillId="0" borderId="0" applyFont="0" applyFill="0" applyBorder="0" applyAlignment="0" applyProtection="0"/>
    <xf numFmtId="0" fontId="18" fillId="0" borderId="0"/>
  </cellStyleXfs>
  <cellXfs count="179">
    <xf numFmtId="0" fontId="0" fillId="0" borderId="0" xfId="0"/>
    <xf numFmtId="38" fontId="2" fillId="0" borderId="0" xfId="1" applyNumberFormat="1" applyFont="1" applyBorder="1" applyAlignment="1">
      <alignment horizontal="right"/>
    </xf>
    <xf numFmtId="0" fontId="3" fillId="2" borderId="6" xfId="0" applyFont="1" applyFill="1" applyBorder="1"/>
    <xf numFmtId="0" fontId="2" fillId="0" borderId="0" xfId="0" applyFont="1"/>
    <xf numFmtId="0" fontId="2" fillId="0" borderId="0" xfId="0" applyFont="1" applyBorder="1"/>
    <xf numFmtId="0" fontId="2" fillId="0" borderId="15" xfId="0" applyFont="1" applyFill="1" applyBorder="1"/>
    <xf numFmtId="0" fontId="7" fillId="0" borderId="0" xfId="0" applyFont="1" applyFill="1" applyBorder="1"/>
    <xf numFmtId="164" fontId="2" fillId="0" borderId="0" xfId="0" applyNumberFormat="1" applyFont="1" applyFill="1" applyBorder="1"/>
    <xf numFmtId="0" fontId="2" fillId="0" borderId="0" xfId="0" applyFont="1" applyFill="1" applyBorder="1"/>
    <xf numFmtId="38" fontId="2" fillId="0" borderId="0" xfId="1" applyNumberFormat="1" applyFont="1" applyFill="1" applyBorder="1" applyAlignment="1">
      <alignment horizontal="right"/>
    </xf>
    <xf numFmtId="164" fontId="3" fillId="0" borderId="0" xfId="0" applyNumberFormat="1" applyFont="1" applyFill="1" applyBorder="1"/>
    <xf numFmtId="164" fontId="4" fillId="0" borderId="0" xfId="0" applyNumberFormat="1" applyFont="1" applyFill="1" applyBorder="1"/>
    <xf numFmtId="164" fontId="8" fillId="0" borderId="0" xfId="0" applyNumberFormat="1" applyFont="1" applyFill="1" applyBorder="1"/>
    <xf numFmtId="0" fontId="2" fillId="0" borderId="0" xfId="0" applyFont="1" applyFill="1" applyBorder="1" applyAlignment="1">
      <alignment horizontal="left"/>
    </xf>
    <xf numFmtId="0" fontId="9" fillId="0" borderId="0" xfId="0" applyFont="1"/>
    <xf numFmtId="0" fontId="5" fillId="0" borderId="9" xfId="0" applyFont="1" applyFill="1" applyBorder="1"/>
    <xf numFmtId="0" fontId="5" fillId="0" borderId="2" xfId="0" applyFont="1" applyFill="1" applyBorder="1"/>
    <xf numFmtId="0" fontId="6" fillId="0" borderId="3" xfId="0" applyFont="1" applyFill="1" applyBorder="1"/>
    <xf numFmtId="164" fontId="10" fillId="0" borderId="0" xfId="0" applyNumberFormat="1" applyFont="1" applyFill="1" applyBorder="1"/>
    <xf numFmtId="0" fontId="7" fillId="0" borderId="10" xfId="0" applyFont="1" applyFill="1" applyBorder="1"/>
    <xf numFmtId="0" fontId="7" fillId="0" borderId="15" xfId="0" applyFont="1" applyFill="1" applyBorder="1"/>
    <xf numFmtId="0" fontId="2" fillId="0" borderId="15" xfId="0" applyFont="1" applyFill="1" applyBorder="1" applyAlignment="1">
      <alignment horizontal="left"/>
    </xf>
    <xf numFmtId="6" fontId="2" fillId="0" borderId="15" xfId="0" applyNumberFormat="1" applyFont="1" applyFill="1" applyBorder="1" applyAlignment="1">
      <alignment horizontal="left"/>
    </xf>
    <xf numFmtId="6" fontId="7" fillId="0" borderId="15" xfId="0" applyNumberFormat="1" applyFont="1" applyFill="1" applyBorder="1" applyAlignment="1">
      <alignment horizontal="left"/>
    </xf>
    <xf numFmtId="0" fontId="7" fillId="2" borderId="33" xfId="0" applyFont="1" applyFill="1" applyBorder="1"/>
    <xf numFmtId="0" fontId="7" fillId="0" borderId="37" xfId="0" applyFont="1" applyFill="1" applyBorder="1"/>
    <xf numFmtId="0" fontId="7" fillId="0" borderId="40" xfId="0" applyFont="1" applyFill="1" applyBorder="1"/>
    <xf numFmtId="0" fontId="3" fillId="0" borderId="0" xfId="0" applyFont="1"/>
    <xf numFmtId="0" fontId="5" fillId="2" borderId="10" xfId="0" applyFont="1" applyFill="1" applyBorder="1"/>
    <xf numFmtId="0" fontId="8" fillId="0" borderId="15" xfId="0" applyFont="1" applyFill="1" applyBorder="1" applyAlignment="1">
      <alignment horizontal="left"/>
    </xf>
    <xf numFmtId="0" fontId="14" fillId="0" borderId="15" xfId="0" quotePrefix="1" applyFont="1" applyFill="1" applyBorder="1"/>
    <xf numFmtId="0" fontId="4" fillId="0" borderId="15" xfId="0" applyFont="1" applyFill="1" applyBorder="1"/>
    <xf numFmtId="0" fontId="6" fillId="0" borderId="15" xfId="0" quotePrefix="1" applyFont="1" applyFill="1" applyBorder="1"/>
    <xf numFmtId="0" fontId="3" fillId="4" borderId="15" xfId="0" applyFont="1" applyFill="1" applyBorder="1"/>
    <xf numFmtId="0" fontId="3" fillId="0" borderId="28" xfId="0" applyFont="1" applyFill="1" applyBorder="1"/>
    <xf numFmtId="0" fontId="3" fillId="0" borderId="13" xfId="0" applyFont="1" applyFill="1" applyBorder="1"/>
    <xf numFmtId="0" fontId="6" fillId="0" borderId="15" xfId="0" applyFont="1" applyFill="1" applyBorder="1"/>
    <xf numFmtId="0" fontId="3" fillId="4" borderId="28" xfId="0" applyFont="1" applyFill="1" applyBorder="1"/>
    <xf numFmtId="0" fontId="14" fillId="0" borderId="15" xfId="0" applyFont="1" applyFill="1" applyBorder="1"/>
    <xf numFmtId="0" fontId="5" fillId="0" borderId="0" xfId="0" applyFont="1"/>
    <xf numFmtId="9" fontId="3" fillId="0" borderId="0" xfId="3" applyFont="1"/>
    <xf numFmtId="0" fontId="15" fillId="0" borderId="0" xfId="0" applyFont="1"/>
    <xf numFmtId="0" fontId="3" fillId="0" borderId="0" xfId="0" applyFont="1" applyFill="1" applyBorder="1"/>
    <xf numFmtId="0" fontId="5" fillId="2" borderId="7" xfId="0" applyFont="1" applyFill="1" applyBorder="1" applyAlignment="1">
      <alignment horizontal="center"/>
    </xf>
    <xf numFmtId="0" fontId="5" fillId="2" borderId="8" xfId="0" applyFont="1" applyFill="1" applyBorder="1" applyAlignment="1">
      <alignment horizontal="center"/>
    </xf>
    <xf numFmtId="0" fontId="5" fillId="2" borderId="17" xfId="0" applyFont="1" applyFill="1" applyBorder="1" applyAlignment="1">
      <alignment horizontal="center"/>
    </xf>
    <xf numFmtId="0" fontId="7" fillId="2" borderId="11" xfId="0" applyFont="1" applyFill="1" applyBorder="1" applyAlignment="1">
      <alignment horizontal="center"/>
    </xf>
    <xf numFmtId="0" fontId="3" fillId="0" borderId="0" xfId="0" applyFont="1" applyAlignment="1">
      <alignment wrapText="1"/>
    </xf>
    <xf numFmtId="0" fontId="7" fillId="2" borderId="31" xfId="0" applyFont="1" applyFill="1" applyBorder="1" applyAlignment="1">
      <alignment horizontal="center"/>
    </xf>
    <xf numFmtId="0" fontId="7" fillId="2" borderId="32" xfId="0" applyFont="1" applyFill="1" applyBorder="1" applyAlignment="1">
      <alignment horizontal="center"/>
    </xf>
    <xf numFmtId="0" fontId="7" fillId="2" borderId="34" xfId="0" applyFont="1" applyFill="1" applyBorder="1" applyAlignment="1">
      <alignment horizontal="center"/>
    </xf>
    <xf numFmtId="0" fontId="3" fillId="0" borderId="21" xfId="0" applyFont="1" applyBorder="1"/>
    <xf numFmtId="0" fontId="3" fillId="2" borderId="29" xfId="0" applyFont="1" applyFill="1" applyBorder="1"/>
    <xf numFmtId="0" fontId="2" fillId="0" borderId="22" xfId="0" applyFont="1" applyFill="1" applyBorder="1" applyAlignment="1">
      <alignment horizontal="left"/>
    </xf>
    <xf numFmtId="0" fontId="5" fillId="2" borderId="29" xfId="0" applyFont="1" applyFill="1" applyBorder="1" applyAlignment="1">
      <alignment horizontal="center"/>
    </xf>
    <xf numFmtId="0" fontId="5" fillId="0" borderId="0" xfId="0" applyFont="1" applyFill="1" applyBorder="1" applyAlignment="1">
      <alignment horizontal="center"/>
    </xf>
    <xf numFmtId="164" fontId="11" fillId="0" borderId="0" xfId="0" applyNumberFormat="1" applyFont="1" applyFill="1" applyBorder="1"/>
    <xf numFmtId="0" fontId="3" fillId="0" borderId="41" xfId="0" applyFont="1" applyBorder="1"/>
    <xf numFmtId="0" fontId="3" fillId="0" borderId="5" xfId="0" applyFont="1" applyBorder="1"/>
    <xf numFmtId="44" fontId="3" fillId="0" borderId="25" xfId="2" applyFont="1" applyFill="1" applyBorder="1" applyAlignment="1">
      <alignment horizontal="right"/>
    </xf>
    <xf numFmtId="44" fontId="3" fillId="0" borderId="0" xfId="2" applyFont="1" applyFill="1" applyBorder="1" applyAlignment="1">
      <alignment horizontal="right"/>
    </xf>
    <xf numFmtId="44" fontId="4" fillId="0" borderId="0" xfId="2" applyFont="1" applyFill="1" applyBorder="1" applyAlignment="1">
      <alignment horizontal="right"/>
    </xf>
    <xf numFmtId="44" fontId="10" fillId="0" borderId="0" xfId="2" applyFont="1" applyFill="1" applyBorder="1" applyAlignment="1">
      <alignment horizontal="right"/>
    </xf>
    <xf numFmtId="44" fontId="10" fillId="0" borderId="25" xfId="2" applyFont="1" applyFill="1" applyBorder="1" applyAlignment="1">
      <alignment horizontal="right"/>
    </xf>
    <xf numFmtId="44" fontId="5" fillId="0" borderId="25" xfId="2" applyFont="1" applyFill="1" applyBorder="1" applyAlignment="1">
      <alignment horizontal="right"/>
    </xf>
    <xf numFmtId="44" fontId="3" fillId="0" borderId="38" xfId="2" applyFont="1" applyFill="1" applyBorder="1" applyAlignment="1">
      <alignment horizontal="right"/>
    </xf>
    <xf numFmtId="44" fontId="3" fillId="0" borderId="39" xfId="2" applyFont="1" applyFill="1" applyBorder="1" applyAlignment="1">
      <alignment horizontal="right"/>
    </xf>
    <xf numFmtId="44" fontId="3" fillId="0" borderId="1" xfId="2" applyFont="1" applyFill="1" applyBorder="1"/>
    <xf numFmtId="0" fontId="17" fillId="0" borderId="0" xfId="0" applyFont="1"/>
    <xf numFmtId="0" fontId="3" fillId="0" borderId="0" xfId="0" applyFont="1" applyBorder="1"/>
    <xf numFmtId="0" fontId="3" fillId="0" borderId="20" xfId="0" applyFont="1" applyBorder="1"/>
    <xf numFmtId="0" fontId="3" fillId="0" borderId="26" xfId="0" applyFont="1" applyBorder="1"/>
    <xf numFmtId="9" fontId="3" fillId="0" borderId="1" xfId="3" applyFont="1" applyFill="1" applyBorder="1"/>
    <xf numFmtId="9" fontId="3" fillId="4" borderId="0" xfId="3" applyFont="1" applyFill="1" applyBorder="1" applyAlignment="1">
      <alignment horizontal="right"/>
    </xf>
    <xf numFmtId="9" fontId="3" fillId="4" borderId="25" xfId="3" applyFont="1" applyFill="1" applyBorder="1" applyAlignment="1">
      <alignment horizontal="right"/>
    </xf>
    <xf numFmtId="0" fontId="3" fillId="0" borderId="0" xfId="0" applyFont="1" applyAlignment="1">
      <alignment vertical="center"/>
    </xf>
    <xf numFmtId="0" fontId="3" fillId="0" borderId="42" xfId="0" applyFont="1" applyBorder="1"/>
    <xf numFmtId="0" fontId="3" fillId="0" borderId="30" xfId="0" applyFont="1" applyBorder="1"/>
    <xf numFmtId="0" fontId="3" fillId="0" borderId="43" xfId="0" applyFont="1" applyBorder="1"/>
    <xf numFmtId="0" fontId="5" fillId="3" borderId="44" xfId="0" applyFont="1" applyFill="1" applyBorder="1"/>
    <xf numFmtId="0" fontId="5" fillId="3" borderId="35" xfId="0" applyFont="1" applyFill="1" applyBorder="1"/>
    <xf numFmtId="0" fontId="5" fillId="3" borderId="18" xfId="0" applyFont="1" applyFill="1" applyBorder="1"/>
    <xf numFmtId="0" fontId="5" fillId="3" borderId="23" xfId="0" applyFont="1" applyFill="1" applyBorder="1"/>
    <xf numFmtId="0" fontId="3" fillId="0" borderId="44" xfId="0" applyFont="1" applyBorder="1"/>
    <xf numFmtId="0" fontId="2" fillId="0" borderId="35" xfId="0" applyFont="1" applyBorder="1"/>
    <xf numFmtId="0" fontId="2" fillId="0" borderId="18" xfId="0" applyFont="1" applyBorder="1"/>
    <xf numFmtId="0" fontId="2" fillId="0" borderId="20" xfId="0" applyFont="1" applyBorder="1"/>
    <xf numFmtId="0" fontId="2" fillId="0" borderId="30" xfId="0" applyFont="1" applyBorder="1"/>
    <xf numFmtId="0" fontId="2" fillId="0" borderId="43" xfId="0" applyFont="1" applyBorder="1"/>
    <xf numFmtId="0" fontId="2" fillId="0" borderId="44" xfId="0" applyFont="1" applyBorder="1"/>
    <xf numFmtId="0" fontId="2" fillId="0" borderId="42" xfId="0" applyFont="1" applyBorder="1"/>
    <xf numFmtId="0" fontId="5" fillId="3" borderId="23" xfId="0" applyFont="1" applyFill="1" applyBorder="1" applyAlignment="1">
      <alignment vertical="center"/>
    </xf>
    <xf numFmtId="0" fontId="3" fillId="0" borderId="35" xfId="0" applyFont="1" applyBorder="1"/>
    <xf numFmtId="0" fontId="3" fillId="0" borderId="18" xfId="0" applyFont="1" applyBorder="1"/>
    <xf numFmtId="0" fontId="3" fillId="0" borderId="1" xfId="0" applyFont="1" applyBorder="1"/>
    <xf numFmtId="0" fontId="3" fillId="0" borderId="1" xfId="0" applyFont="1" applyBorder="1" applyAlignment="1">
      <alignment horizontal="left" vertical="center"/>
    </xf>
    <xf numFmtId="6" fontId="4" fillId="0" borderId="1" xfId="2" applyNumberFormat="1" applyFont="1" applyFill="1" applyBorder="1"/>
    <xf numFmtId="6" fontId="3" fillId="0" borderId="0" xfId="2" applyNumberFormat="1" applyFont="1" applyFill="1" applyBorder="1" applyAlignment="1">
      <alignment horizontal="right"/>
    </xf>
    <xf numFmtId="0" fontId="0" fillId="0" borderId="0" xfId="0" applyNumberFormat="1"/>
    <xf numFmtId="166" fontId="3" fillId="0" borderId="21" xfId="2" applyNumberFormat="1" applyFont="1" applyBorder="1"/>
    <xf numFmtId="166" fontId="3" fillId="0" borderId="41" xfId="0" applyNumberFormat="1" applyFont="1" applyBorder="1"/>
    <xf numFmtId="0" fontId="5" fillId="2" borderId="12" xfId="0" applyFont="1" applyFill="1" applyBorder="1" applyAlignment="1">
      <alignment horizontal="center"/>
    </xf>
    <xf numFmtId="166" fontId="3" fillId="0" borderId="0" xfId="2" applyNumberFormat="1" applyFont="1" applyBorder="1"/>
    <xf numFmtId="0" fontId="5" fillId="0" borderId="0" xfId="0" applyFont="1" applyFill="1" applyBorder="1"/>
    <xf numFmtId="166" fontId="3" fillId="0" borderId="0" xfId="2" applyNumberFormat="1" applyFont="1" applyFill="1" applyBorder="1"/>
    <xf numFmtId="0" fontId="5" fillId="0" borderId="0" xfId="0" applyFont="1" applyBorder="1"/>
    <xf numFmtId="166" fontId="3" fillId="0" borderId="0" xfId="0" applyNumberFormat="1" applyFont="1" applyBorder="1"/>
    <xf numFmtId="166" fontId="3" fillId="0" borderId="19" xfId="2" applyNumberFormat="1" applyFont="1" applyBorder="1"/>
    <xf numFmtId="166" fontId="3" fillId="0" borderId="45" xfId="2" applyNumberFormat="1" applyFont="1" applyFill="1" applyBorder="1"/>
    <xf numFmtId="166" fontId="5" fillId="0" borderId="46" xfId="0" applyNumberFormat="1" applyFont="1" applyBorder="1"/>
    <xf numFmtId="44" fontId="3" fillId="0" borderId="26" xfId="2" applyFont="1" applyBorder="1"/>
    <xf numFmtId="166" fontId="3" fillId="0" borderId="26" xfId="2" applyNumberFormat="1" applyFont="1" applyBorder="1"/>
    <xf numFmtId="166" fontId="3" fillId="0" borderId="45" xfId="2" applyNumberFormat="1" applyFont="1" applyBorder="1"/>
    <xf numFmtId="166" fontId="3" fillId="0" borderId="19" xfId="0" applyNumberFormat="1" applyFont="1" applyBorder="1"/>
    <xf numFmtId="166" fontId="3" fillId="0" borderId="0" xfId="0" applyNumberFormat="1" applyFont="1" applyFill="1" applyBorder="1" applyAlignment="1"/>
    <xf numFmtId="0" fontId="5" fillId="2" borderId="27" xfId="0" applyFont="1" applyFill="1" applyBorder="1" applyAlignment="1">
      <alignment horizontal="center"/>
    </xf>
    <xf numFmtId="166" fontId="3" fillId="0" borderId="46" xfId="0" applyNumberFormat="1" applyFont="1" applyFill="1" applyBorder="1" applyAlignment="1"/>
    <xf numFmtId="0" fontId="5" fillId="2" borderId="10" xfId="0" applyFont="1" applyFill="1" applyBorder="1" applyAlignment="1">
      <alignment horizontal="center"/>
    </xf>
    <xf numFmtId="0" fontId="3" fillId="4" borderId="0" xfId="0" applyFont="1" applyFill="1" applyBorder="1"/>
    <xf numFmtId="0" fontId="5" fillId="2" borderId="12" xfId="0" applyFont="1" applyFill="1" applyBorder="1" applyAlignment="1">
      <alignment horizontal="right"/>
    </xf>
    <xf numFmtId="166" fontId="2" fillId="0" borderId="0" xfId="2" applyNumberFormat="1" applyFont="1" applyFill="1" applyBorder="1" applyAlignment="1"/>
    <xf numFmtId="0" fontId="16" fillId="0" borderId="0" xfId="0" applyFont="1" applyFill="1" applyBorder="1" applyAlignment="1">
      <alignment horizontal="left"/>
    </xf>
    <xf numFmtId="166" fontId="3" fillId="0" borderId="30" xfId="2" applyNumberFormat="1" applyFont="1" applyFill="1" applyBorder="1"/>
    <xf numFmtId="166" fontId="3" fillId="0" borderId="47" xfId="2" applyNumberFormat="1" applyFont="1" applyFill="1" applyBorder="1"/>
    <xf numFmtId="166" fontId="3" fillId="0" borderId="30" xfId="2" applyNumberFormat="1" applyFont="1" applyBorder="1"/>
    <xf numFmtId="166" fontId="3" fillId="0" borderId="46" xfId="3" applyNumberFormat="1" applyFont="1" applyBorder="1"/>
    <xf numFmtId="44" fontId="19" fillId="0" borderId="0" xfId="2" applyFont="1" applyFill="1" applyBorder="1"/>
    <xf numFmtId="166" fontId="2" fillId="0" borderId="0" xfId="2" applyNumberFormat="1" applyFont="1" applyFill="1" applyBorder="1"/>
    <xf numFmtId="166" fontId="2" fillId="0" borderId="0" xfId="2" applyNumberFormat="1" applyFont="1" applyFill="1" applyBorder="1" applyAlignment="1">
      <alignment horizontal="right"/>
    </xf>
    <xf numFmtId="6" fontId="2" fillId="0" borderId="0" xfId="0" applyNumberFormat="1" applyFont="1" applyFill="1" applyBorder="1" applyAlignment="1">
      <alignment horizontal="left"/>
    </xf>
    <xf numFmtId="166" fontId="20" fillId="0" borderId="0" xfId="2" applyNumberFormat="1" applyFont="1" applyFill="1" applyBorder="1"/>
    <xf numFmtId="166" fontId="3" fillId="0" borderId="0" xfId="2" quotePrefix="1" applyNumberFormat="1" applyFont="1" applyBorder="1"/>
    <xf numFmtId="166" fontId="3" fillId="0" borderId="19" xfId="2" quotePrefix="1" applyNumberFormat="1" applyFont="1" applyBorder="1"/>
    <xf numFmtId="0" fontId="5" fillId="2" borderId="27" xfId="0" applyFont="1" applyFill="1" applyBorder="1"/>
    <xf numFmtId="0" fontId="3" fillId="0" borderId="15" xfId="0" applyFont="1" applyBorder="1"/>
    <xf numFmtId="0" fontId="3" fillId="0" borderId="40" xfId="0" applyFont="1" applyBorder="1" applyAlignment="1">
      <alignment horizontal="right"/>
    </xf>
    <xf numFmtId="0" fontId="3" fillId="0" borderId="15" xfId="0" applyFont="1" applyBorder="1" applyAlignment="1">
      <alignment horizontal="left"/>
    </xf>
    <xf numFmtId="0" fontId="3" fillId="0" borderId="15" xfId="0" applyFont="1" applyBorder="1" applyAlignment="1">
      <alignment horizontal="right"/>
    </xf>
    <xf numFmtId="0" fontId="3" fillId="0" borderId="37" xfId="0" applyFont="1" applyBorder="1"/>
    <xf numFmtId="6" fontId="4" fillId="0" borderId="0" xfId="2" applyNumberFormat="1" applyFont="1" applyFill="1" applyBorder="1" applyAlignment="1">
      <alignment horizontal="right"/>
    </xf>
    <xf numFmtId="0" fontId="3" fillId="0" borderId="0" xfId="0" applyFont="1" applyFill="1"/>
    <xf numFmtId="166" fontId="6" fillId="0" borderId="4" xfId="2" applyNumberFormat="1" applyFont="1" applyFill="1" applyBorder="1"/>
    <xf numFmtId="166" fontId="6" fillId="0" borderId="5" xfId="2" applyNumberFormat="1" applyFont="1" applyFill="1" applyBorder="1"/>
    <xf numFmtId="166" fontId="3" fillId="0" borderId="0" xfId="2" applyNumberFormat="1" applyFont="1" applyFill="1" applyBorder="1" applyAlignment="1">
      <alignment horizontal="right"/>
    </xf>
    <xf numFmtId="166" fontId="3" fillId="0" borderId="25" xfId="2" applyNumberFormat="1" applyFont="1" applyFill="1" applyBorder="1" applyAlignment="1">
      <alignment horizontal="right"/>
    </xf>
    <xf numFmtId="166" fontId="11" fillId="0" borderId="19" xfId="2" applyNumberFormat="1" applyFont="1" applyFill="1" applyBorder="1" applyAlignment="1">
      <alignment horizontal="right"/>
    </xf>
    <xf numFmtId="166" fontId="10" fillId="0" borderId="14" xfId="2" applyNumberFormat="1" applyFont="1" applyFill="1" applyBorder="1" applyAlignment="1">
      <alignment horizontal="right"/>
    </xf>
    <xf numFmtId="166" fontId="10" fillId="0" borderId="0" xfId="2" applyNumberFormat="1" applyFont="1" applyFill="1" applyBorder="1" applyAlignment="1">
      <alignment horizontal="right"/>
    </xf>
    <xf numFmtId="166" fontId="10" fillId="0" borderId="25" xfId="2" applyNumberFormat="1" applyFont="1" applyFill="1" applyBorder="1" applyAlignment="1">
      <alignment horizontal="right"/>
    </xf>
    <xf numFmtId="6" fontId="3" fillId="0" borderId="25" xfId="2" applyNumberFormat="1" applyFont="1" applyFill="1" applyBorder="1" applyAlignment="1">
      <alignment horizontal="right"/>
    </xf>
    <xf numFmtId="5" fontId="12" fillId="0" borderId="17" xfId="2" applyNumberFormat="1" applyFont="1" applyFill="1" applyBorder="1"/>
    <xf numFmtId="166" fontId="11" fillId="0" borderId="17" xfId="2" applyNumberFormat="1" applyFont="1" applyFill="1" applyBorder="1"/>
    <xf numFmtId="166" fontId="11" fillId="0" borderId="11" xfId="2" applyNumberFormat="1" applyFont="1" applyFill="1" applyBorder="1"/>
    <xf numFmtId="166" fontId="10" fillId="0" borderId="24" xfId="2" applyNumberFormat="1" applyFont="1" applyFill="1" applyBorder="1"/>
    <xf numFmtId="166" fontId="3" fillId="0" borderId="35" xfId="2" applyNumberFormat="1" applyFont="1" applyFill="1" applyBorder="1"/>
    <xf numFmtId="166" fontId="3" fillId="0" borderId="36" xfId="2" applyNumberFormat="1" applyFont="1" applyFill="1" applyBorder="1"/>
    <xf numFmtId="166" fontId="3" fillId="0" borderId="25" xfId="2" applyNumberFormat="1" applyFont="1" applyFill="1" applyBorder="1"/>
    <xf numFmtId="166" fontId="10" fillId="0" borderId="16" xfId="2" applyNumberFormat="1" applyFont="1" applyFill="1" applyBorder="1"/>
    <xf numFmtId="0" fontId="7" fillId="0" borderId="22" xfId="0" applyFont="1" applyFill="1" applyBorder="1"/>
    <xf numFmtId="166" fontId="4" fillId="0" borderId="1" xfId="2" applyNumberFormat="1" applyFont="1" applyFill="1" applyBorder="1"/>
    <xf numFmtId="166" fontId="3" fillId="0" borderId="38" xfId="2" applyNumberFormat="1" applyFont="1" applyFill="1" applyBorder="1" applyAlignment="1">
      <alignment horizontal="right"/>
    </xf>
    <xf numFmtId="166" fontId="3" fillId="4" borderId="38" xfId="2" applyNumberFormat="1" applyFont="1" applyFill="1" applyBorder="1" applyAlignment="1">
      <alignment horizontal="right"/>
    </xf>
    <xf numFmtId="166" fontId="3" fillId="4" borderId="39" xfId="2" applyNumberFormat="1" applyFont="1" applyFill="1" applyBorder="1" applyAlignment="1">
      <alignment horizontal="right"/>
    </xf>
    <xf numFmtId="44" fontId="3" fillId="0" borderId="0" xfId="0" applyNumberFormat="1" applyFont="1" applyFill="1"/>
    <xf numFmtId="0" fontId="3" fillId="0" borderId="0" xfId="0" applyFont="1" applyAlignment="1">
      <alignment horizontal="left" vertical="center" wrapText="1"/>
    </xf>
    <xf numFmtId="0" fontId="3" fillId="0" borderId="0" xfId="0" applyFont="1" applyAlignment="1">
      <alignment horizontal="left" vertical="top" wrapText="1"/>
    </xf>
    <xf numFmtId="6" fontId="4" fillId="0" borderId="48" xfId="2" applyNumberFormat="1" applyFont="1" applyFill="1" applyBorder="1"/>
    <xf numFmtId="9" fontId="3" fillId="0" borderId="48" xfId="3" applyFont="1" applyFill="1" applyBorder="1"/>
    <xf numFmtId="44" fontId="3" fillId="0" borderId="48" xfId="2" applyFont="1" applyFill="1" applyBorder="1"/>
    <xf numFmtId="0" fontId="2" fillId="0" borderId="18" xfId="0" applyFont="1" applyBorder="1" applyAlignment="1">
      <alignment horizontal="left" vertical="center" wrapText="1"/>
    </xf>
    <xf numFmtId="0" fontId="2" fillId="0" borderId="20" xfId="0" applyFont="1" applyBorder="1" applyAlignment="1">
      <alignment horizontal="left" vertical="center" wrapText="1"/>
    </xf>
    <xf numFmtId="0" fontId="2" fillId="0" borderId="43" xfId="0" applyFont="1" applyBorder="1" applyAlignment="1">
      <alignment horizontal="left" vertical="center" wrapText="1"/>
    </xf>
    <xf numFmtId="0" fontId="3" fillId="0" borderId="18" xfId="0" applyFont="1" applyBorder="1" applyAlignment="1">
      <alignment horizontal="left" vertical="center" wrapText="1"/>
    </xf>
    <xf numFmtId="0" fontId="3" fillId="0" borderId="43" xfId="0" applyFont="1" applyBorder="1" applyAlignment="1">
      <alignment horizontal="left" vertical="center"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3" fillId="0" borderId="0" xfId="0" applyFont="1" applyAlignment="1">
      <alignment horizontal="center"/>
    </xf>
    <xf numFmtId="0" fontId="5" fillId="0" borderId="0" xfId="0" applyFont="1" applyAlignment="1">
      <alignment horizontal="center"/>
    </xf>
    <xf numFmtId="0" fontId="5" fillId="0" borderId="0" xfId="0" applyFont="1" applyBorder="1" applyAlignment="1">
      <alignment horizontal="center"/>
    </xf>
  </cellXfs>
  <cellStyles count="10">
    <cellStyle name="Comma" xfId="1" builtinId="3"/>
    <cellStyle name="Comma 2" xfId="6"/>
    <cellStyle name="Currency" xfId="2" builtinId="4"/>
    <cellStyle name="Currency 2" xfId="7"/>
    <cellStyle name="Normal" xfId="0" builtinId="0"/>
    <cellStyle name="Normal 2" xfId="4"/>
    <cellStyle name="Normal 2 2" xfId="9"/>
    <cellStyle name="Normal 2 3" xfId="5"/>
    <cellStyle name="Percent" xfId="3" builtinId="5"/>
    <cellStyle name="Percent 2" xf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layout>
        <c:manualLayout>
          <c:xMode val="edge"/>
          <c:yMode val="edge"/>
          <c:x val="0.41667630139656381"/>
          <c:y val="4.788776972945321E-2"/>
        </c:manualLayout>
      </c:layout>
      <c:overlay val="0"/>
    </c:title>
    <c:autoTitleDeleted val="0"/>
    <c:plotArea>
      <c:layout>
        <c:manualLayout>
          <c:layoutTarget val="inner"/>
          <c:xMode val="edge"/>
          <c:yMode val="edge"/>
          <c:x val="0.12062093196436871"/>
          <c:y val="0.21619269197953003"/>
          <c:w val="0.84881626098067664"/>
          <c:h val="0.69731845419008021"/>
        </c:manualLayout>
      </c:layout>
      <c:lineChart>
        <c:grouping val="stacked"/>
        <c:varyColors val="0"/>
        <c:ser>
          <c:idx val="0"/>
          <c:order val="0"/>
          <c:tx>
            <c:v>Net Income After Tax</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'Pro-Forma Income statement'!$B$9:$D$9</c:f>
              <c:strCache>
                <c:ptCount val="3"/>
                <c:pt idx="0">
                  <c:v>FY-1</c:v>
                </c:pt>
                <c:pt idx="1">
                  <c:v>FY-2</c:v>
                </c:pt>
                <c:pt idx="2">
                  <c:v>FY-3</c:v>
                </c:pt>
              </c:strCache>
            </c:strRef>
          </c:cat>
          <c:val>
            <c:numRef>
              <c:f>'Pro-Forma Income statement'!$B$27:$D$27</c:f>
              <c:numCache>
                <c:formatCode>_("$"* #,##0_);_("$"* \(#,##0\);_("$"* "-"??_);_(@_)</c:formatCode>
                <c:ptCount val="3"/>
                <c:pt idx="0">
                  <c:v>-24180.884499999982</c:v>
                </c:pt>
                <c:pt idx="1">
                  <c:v>-18448.847800000014</c:v>
                </c:pt>
                <c:pt idx="2">
                  <c:v>6163.9240250000112</c:v>
                </c:pt>
              </c:numCache>
            </c:numRef>
          </c:val>
          <c:smooth val="0"/>
        </c:ser>
        <c:dLbls>
          <c:showLegendKey val="0"/>
          <c:showVal val="1"/>
          <c:showCatName val="0"/>
          <c:showSerName val="0"/>
          <c:showPercent val="0"/>
          <c:showBubbleSize val="0"/>
        </c:dLbls>
        <c:marker val="1"/>
        <c:smooth val="0"/>
        <c:axId val="350068896"/>
        <c:axId val="350069456"/>
      </c:lineChart>
      <c:catAx>
        <c:axId val="350068896"/>
        <c:scaling>
          <c:orientation val="minMax"/>
        </c:scaling>
        <c:delete val="0"/>
        <c:axPos val="b"/>
        <c:numFmt formatCode="General" sourceLinked="1"/>
        <c:majorTickMark val="none"/>
        <c:minorTickMark val="none"/>
        <c:tickLblPos val="low"/>
        <c:crossAx val="350069456"/>
        <c:crosses val="autoZero"/>
        <c:auto val="1"/>
        <c:lblAlgn val="ctr"/>
        <c:lblOffset val="100"/>
        <c:noMultiLvlLbl val="0"/>
      </c:catAx>
      <c:valAx>
        <c:axId val="350069456"/>
        <c:scaling>
          <c:orientation val="minMax"/>
        </c:scaling>
        <c:delete val="0"/>
        <c:axPos val="l"/>
        <c:majorGridlines/>
        <c:numFmt formatCode="_(&quot;$&quot;* #,##0_);_(&quot;$&quot;* \(#,##0\);_(&quot;$&quot;* &quot;-&quot;??_);_(@_)" sourceLinked="1"/>
        <c:majorTickMark val="none"/>
        <c:minorTickMark val="none"/>
        <c:tickLblPos val="nextTo"/>
        <c:crossAx val="350068896"/>
        <c:crosses val="autoZero"/>
        <c:crossBetween val="between"/>
      </c:valAx>
    </c:plotArea>
    <c:plotVisOnly val="1"/>
    <c:dispBlanksAs val="zero"/>
    <c:showDLblsOverMax val="0"/>
  </c:chart>
  <c:spPr>
    <a:noFill/>
    <a:ln>
      <a:noFill/>
    </a:ln>
  </c:spPr>
  <c:txPr>
    <a:bodyPr/>
    <a:lstStyle/>
    <a:p>
      <a:pPr>
        <a:defRPr sz="800" baseline="0"/>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rPr lang="en-US"/>
              <a:t>Cost Structure</a:t>
            </a:r>
          </a:p>
        </c:rich>
      </c:tx>
      <c:layout>
        <c:manualLayout>
          <c:xMode val="edge"/>
          <c:yMode val="edge"/>
          <c:x val="0.48651230720268029"/>
          <c:y val="2.0152751544838501E-2"/>
        </c:manualLayout>
      </c:layout>
      <c:overlay val="0"/>
    </c:title>
    <c:autoTitleDeleted val="0"/>
    <c:plotArea>
      <c:layout>
        <c:manualLayout>
          <c:layoutTarget val="inner"/>
          <c:xMode val="edge"/>
          <c:yMode val="edge"/>
          <c:x val="0.13825969870803329"/>
          <c:y val="0.12958925729265586"/>
          <c:w val="0.80379987311214274"/>
          <c:h val="0.68201366791573603"/>
        </c:manualLayout>
      </c:layout>
      <c:barChart>
        <c:barDir val="col"/>
        <c:grouping val="clustered"/>
        <c:varyColors val="0"/>
        <c:ser>
          <c:idx val="0"/>
          <c:order val="0"/>
          <c:tx>
            <c:strRef>
              <c:f>'Pro-Forma Income statement'!$A$22</c:f>
              <c:strCache>
                <c:ptCount val="1"/>
                <c:pt idx="0">
                  <c:v>Total Expenses (= Direct + Oper Exp)</c:v>
                </c:pt>
              </c:strCache>
            </c:strRef>
          </c:tx>
          <c:invertIfNegative val="0"/>
          <c:cat>
            <c:strRef>
              <c:f>'Pro-Forma Income statement'!$B$9:$D$9</c:f>
              <c:strCache>
                <c:ptCount val="3"/>
                <c:pt idx="0">
                  <c:v>FY-1</c:v>
                </c:pt>
                <c:pt idx="1">
                  <c:v>FY-2</c:v>
                </c:pt>
                <c:pt idx="2">
                  <c:v>FY-3</c:v>
                </c:pt>
              </c:strCache>
            </c:strRef>
          </c:cat>
          <c:val>
            <c:numRef>
              <c:f>'Pro-Forma Income statement'!$B$22:$D$22</c:f>
              <c:numCache>
                <c:formatCode>_("$"* #,##0_);_("$"* \(#,##0\);_("$"* "-"??_);_(@_)</c:formatCode>
                <c:ptCount val="3"/>
                <c:pt idx="0">
                  <c:v>504932.29631316778</c:v>
                </c:pt>
                <c:pt idx="1">
                  <c:v>524710.55507528468</c:v>
                </c:pt>
                <c:pt idx="2">
                  <c:v>547502.03290863684</c:v>
                </c:pt>
              </c:numCache>
            </c:numRef>
          </c:val>
        </c:ser>
        <c:ser>
          <c:idx val="1"/>
          <c:order val="1"/>
          <c:tx>
            <c:strRef>
              <c:f>'Pro-Forma Income statement'!$A$11</c:f>
              <c:strCache>
                <c:ptCount val="1"/>
                <c:pt idx="0">
                  <c:v>Expenses (Variable Costs)</c:v>
                </c:pt>
              </c:strCache>
            </c:strRef>
          </c:tx>
          <c:invertIfNegative val="0"/>
          <c:cat>
            <c:strRef>
              <c:f>'Pro-Forma Income statement'!$B$9:$D$9</c:f>
              <c:strCache>
                <c:ptCount val="3"/>
                <c:pt idx="0">
                  <c:v>FY-1</c:v>
                </c:pt>
                <c:pt idx="1">
                  <c:v>FY-2</c:v>
                </c:pt>
                <c:pt idx="2">
                  <c:v>FY-3</c:v>
                </c:pt>
              </c:strCache>
            </c:strRef>
          </c:cat>
          <c:val>
            <c:numRef>
              <c:f>'Pro-Forma Income statement'!$B$11:$D$11</c:f>
              <c:numCache>
                <c:formatCode>_("$"* #,##0_);_("$"* \(#,##0\);_("$"* "-"??_);_(@_)</c:formatCode>
                <c:ptCount val="3"/>
                <c:pt idx="0">
                  <c:v>271693.17683726887</c:v>
                </c:pt>
                <c:pt idx="1">
                  <c:v>284721.43559938576</c:v>
                </c:pt>
                <c:pt idx="2">
                  <c:v>308937.91343273799</c:v>
                </c:pt>
              </c:numCache>
            </c:numRef>
          </c:val>
        </c:ser>
        <c:dLbls>
          <c:showLegendKey val="0"/>
          <c:showVal val="0"/>
          <c:showCatName val="0"/>
          <c:showSerName val="0"/>
          <c:showPercent val="0"/>
          <c:showBubbleSize val="0"/>
        </c:dLbls>
        <c:gapWidth val="75"/>
        <c:axId val="350072256"/>
        <c:axId val="350072816"/>
      </c:barChart>
      <c:catAx>
        <c:axId val="350072256"/>
        <c:scaling>
          <c:orientation val="minMax"/>
        </c:scaling>
        <c:delete val="0"/>
        <c:axPos val="b"/>
        <c:numFmt formatCode="General" sourceLinked="0"/>
        <c:majorTickMark val="none"/>
        <c:minorTickMark val="none"/>
        <c:tickLblPos val="low"/>
        <c:crossAx val="350072816"/>
        <c:crosses val="autoZero"/>
        <c:auto val="1"/>
        <c:lblAlgn val="ctr"/>
        <c:lblOffset val="100"/>
        <c:noMultiLvlLbl val="0"/>
      </c:catAx>
      <c:valAx>
        <c:axId val="350072816"/>
        <c:scaling>
          <c:orientation val="minMax"/>
        </c:scaling>
        <c:delete val="0"/>
        <c:axPos val="l"/>
        <c:majorGridlines/>
        <c:numFmt formatCode="_(&quot;$&quot;* #,##0_);_(&quot;$&quot;* \(#,##0\);_(&quot;$&quot;* &quot;-&quot;??_);_(@_)" sourceLinked="1"/>
        <c:majorTickMark val="none"/>
        <c:minorTickMark val="none"/>
        <c:tickLblPos val="nextTo"/>
        <c:crossAx val="350072256"/>
        <c:crosses val="autoZero"/>
        <c:crossBetween val="between"/>
      </c:valAx>
    </c:plotArea>
    <c:legend>
      <c:legendPos val="b"/>
      <c:layout>
        <c:manualLayout>
          <c:xMode val="edge"/>
          <c:yMode val="edge"/>
          <c:x val="6.1284936797804876E-2"/>
          <c:y val="0.91255929353874055"/>
          <c:w val="0.89999973040582015"/>
          <c:h val="7.3924101987953683E-2"/>
        </c:manualLayout>
      </c:layout>
      <c:overlay val="0"/>
    </c:legend>
    <c:plotVisOnly val="1"/>
    <c:dispBlanksAs val="gap"/>
    <c:showDLblsOverMax val="0"/>
  </c:chart>
  <c:spPr>
    <a:noFill/>
    <a:ln>
      <a:noFill/>
    </a:ln>
  </c:spPr>
  <c:txPr>
    <a:bodyPr/>
    <a:lstStyle/>
    <a:p>
      <a:pPr>
        <a:defRPr sz="800" baseline="0"/>
      </a:pPr>
      <a:endParaRPr lang="en-US"/>
    </a:p>
  </c:txPr>
  <c:printSettings>
    <c:headerFooter/>
    <c:pageMargins b="0.75000000000000033" l="0.70000000000000029" r="0.70000000000000029" t="0.75000000000000033" header="0.30000000000000016" footer="0.30000000000000016"/>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rPr lang="en-US"/>
              <a:t>Gross Profit Margin vs Revenue</a:t>
            </a:r>
          </a:p>
          <a:p>
            <a:pPr>
              <a:defRPr/>
            </a:pPr>
            <a:endParaRPr lang="en-US" baseline="0"/>
          </a:p>
        </c:rich>
      </c:tx>
      <c:layout>
        <c:manualLayout>
          <c:xMode val="edge"/>
          <c:yMode val="edge"/>
          <c:x val="0.30836122167083252"/>
          <c:y val="2.6911669458046544E-2"/>
        </c:manualLayout>
      </c:layout>
      <c:overlay val="0"/>
    </c:title>
    <c:autoTitleDeleted val="0"/>
    <c:plotArea>
      <c:layout>
        <c:manualLayout>
          <c:layoutTarget val="inner"/>
          <c:xMode val="edge"/>
          <c:yMode val="edge"/>
          <c:x val="0.13825969870803329"/>
          <c:y val="0.12958925729265586"/>
          <c:w val="0.80379987311214274"/>
          <c:h val="0.68201366791573603"/>
        </c:manualLayout>
      </c:layout>
      <c:barChart>
        <c:barDir val="col"/>
        <c:grouping val="clustered"/>
        <c:varyColors val="0"/>
        <c:ser>
          <c:idx val="0"/>
          <c:order val="0"/>
          <c:tx>
            <c:strRef>
              <c:f>'Pro-Forma Income statement'!$A$12</c:f>
              <c:strCache>
                <c:ptCount val="1"/>
                <c:pt idx="0">
                  <c:v>Gross Profit Margin (contribution)</c:v>
                </c:pt>
              </c:strCache>
            </c:strRef>
          </c:tx>
          <c:spPr>
            <a:solidFill>
              <a:schemeClr val="accent3">
                <a:lumMod val="75000"/>
              </a:schemeClr>
            </a:solidFill>
          </c:spPr>
          <c:invertIfNegative val="0"/>
          <c:cat>
            <c:strRef>
              <c:f>'Pro-Forma Income statement'!$B$9:$D$9</c:f>
              <c:strCache>
                <c:ptCount val="3"/>
                <c:pt idx="0">
                  <c:v>FY-1</c:v>
                </c:pt>
                <c:pt idx="1">
                  <c:v>FY-2</c:v>
                </c:pt>
                <c:pt idx="2">
                  <c:v>FY-3</c:v>
                </c:pt>
              </c:strCache>
            </c:strRef>
          </c:cat>
          <c:val>
            <c:numRef>
              <c:f>'Pro-Forma Income statement'!$B$12:$D$12</c:f>
              <c:numCache>
                <c:formatCode>_("$"* #,##0_);_("$"* \(#,##0\);_("$"* "-"??_);_(@_)</c:formatCode>
                <c:ptCount val="3"/>
                <c:pt idx="0">
                  <c:v>208433.23497830803</c:v>
                </c:pt>
                <c:pt idx="1">
                  <c:v>220352.77195356309</c:v>
                </c:pt>
                <c:pt idx="2">
                  <c:v>249781.87646527163</c:v>
                </c:pt>
              </c:numCache>
            </c:numRef>
          </c:val>
        </c:ser>
        <c:ser>
          <c:idx val="1"/>
          <c:order val="1"/>
          <c:tx>
            <c:strRef>
              <c:f>'Pro-Forma Income statement'!$A$10</c:f>
              <c:strCache>
                <c:ptCount val="1"/>
                <c:pt idx="0">
                  <c:v>Revenue</c:v>
                </c:pt>
              </c:strCache>
            </c:strRef>
          </c:tx>
          <c:spPr>
            <a:solidFill>
              <a:schemeClr val="accent3">
                <a:lumMod val="60000"/>
                <a:lumOff val="40000"/>
              </a:schemeClr>
            </a:solidFill>
          </c:spPr>
          <c:invertIfNegative val="0"/>
          <c:cat>
            <c:strRef>
              <c:f>'Pro-Forma Income statement'!$B$9:$D$9</c:f>
              <c:strCache>
                <c:ptCount val="3"/>
                <c:pt idx="0">
                  <c:v>FY-1</c:v>
                </c:pt>
                <c:pt idx="1">
                  <c:v>FY-2</c:v>
                </c:pt>
                <c:pt idx="2">
                  <c:v>FY-3</c:v>
                </c:pt>
              </c:strCache>
            </c:strRef>
          </c:cat>
          <c:val>
            <c:numRef>
              <c:f>'Pro-Forma Income statement'!$B$10:$D$10</c:f>
              <c:numCache>
                <c:formatCode>_("$"* #,##0_);_("$"* \(#,##0\);_("$"* "-"??_);_(@_)</c:formatCode>
                <c:ptCount val="3"/>
                <c:pt idx="0">
                  <c:v>480126.4118155769</c:v>
                </c:pt>
                <c:pt idx="1">
                  <c:v>505074.20755294885</c:v>
                </c:pt>
                <c:pt idx="2">
                  <c:v>558719.78989800962</c:v>
                </c:pt>
              </c:numCache>
            </c:numRef>
          </c:val>
        </c:ser>
        <c:dLbls>
          <c:showLegendKey val="0"/>
          <c:showVal val="0"/>
          <c:showCatName val="0"/>
          <c:showSerName val="0"/>
          <c:showPercent val="0"/>
          <c:showBubbleSize val="0"/>
        </c:dLbls>
        <c:gapWidth val="75"/>
        <c:axId val="350076176"/>
        <c:axId val="350076736"/>
      </c:barChart>
      <c:catAx>
        <c:axId val="350076176"/>
        <c:scaling>
          <c:orientation val="minMax"/>
        </c:scaling>
        <c:delete val="0"/>
        <c:axPos val="b"/>
        <c:numFmt formatCode="General" sourceLinked="0"/>
        <c:majorTickMark val="none"/>
        <c:minorTickMark val="none"/>
        <c:tickLblPos val="low"/>
        <c:crossAx val="350076736"/>
        <c:crosses val="autoZero"/>
        <c:auto val="1"/>
        <c:lblAlgn val="ctr"/>
        <c:lblOffset val="100"/>
        <c:noMultiLvlLbl val="0"/>
      </c:catAx>
      <c:valAx>
        <c:axId val="350076736"/>
        <c:scaling>
          <c:orientation val="minMax"/>
        </c:scaling>
        <c:delete val="0"/>
        <c:axPos val="l"/>
        <c:majorGridlines/>
        <c:numFmt formatCode="_(&quot;$&quot;* #,##0_);_(&quot;$&quot;* \(#,##0\);_(&quot;$&quot;* &quot;-&quot;??_);_(@_)" sourceLinked="1"/>
        <c:majorTickMark val="none"/>
        <c:minorTickMark val="none"/>
        <c:tickLblPos val="nextTo"/>
        <c:crossAx val="350076176"/>
        <c:crosses val="autoZero"/>
        <c:crossBetween val="between"/>
        <c:majorUnit val="100000"/>
      </c:valAx>
    </c:plotArea>
    <c:legend>
      <c:legendPos val="b"/>
      <c:layout>
        <c:manualLayout>
          <c:xMode val="edge"/>
          <c:yMode val="edge"/>
          <c:x val="6.1284936797804876E-2"/>
          <c:y val="0.91255929353874055"/>
          <c:w val="0.89999973040582015"/>
          <c:h val="7.3924101987953683E-2"/>
        </c:manualLayout>
      </c:layout>
      <c:overlay val="0"/>
    </c:legend>
    <c:plotVisOnly val="1"/>
    <c:dispBlanksAs val="gap"/>
    <c:showDLblsOverMax val="0"/>
  </c:chart>
  <c:spPr>
    <a:noFill/>
    <a:ln>
      <a:noFill/>
    </a:ln>
  </c:spPr>
  <c:txPr>
    <a:bodyPr/>
    <a:lstStyle/>
    <a:p>
      <a:pPr>
        <a:defRPr sz="800" baseline="0"/>
      </a:pPr>
      <a:endParaRPr lang="en-US"/>
    </a:p>
  </c:txPr>
  <c:printSettings>
    <c:headerFooter/>
    <c:pageMargins b="0.75000000000000033" l="0.70000000000000029" r="0.70000000000000029" t="0.75000000000000033" header="0.30000000000000016" footer="0.30000000000000016"/>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000"/>
          </a:pPr>
          <a:endParaRPr lang="en-US"/>
        </a:p>
      </c:txPr>
    </c:title>
    <c:autoTitleDeleted val="0"/>
    <c:plotArea>
      <c:layout/>
      <c:lineChart>
        <c:grouping val="standard"/>
        <c:varyColors val="0"/>
        <c:ser>
          <c:idx val="0"/>
          <c:order val="0"/>
          <c:tx>
            <c:strRef>
              <c:f>'Pro-Forma CF'!$B$21</c:f>
              <c:strCache>
                <c:ptCount val="1"/>
                <c:pt idx="0">
                  <c:v>ENDING CASH BALANCE</c:v>
                </c:pt>
              </c:strCache>
            </c:strRef>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'Pro-Forma CF'!$C$21:$E$21</c:f>
              <c:numCache>
                <c:formatCode>_("$"* #,##0_);_("$"* \(#,##0\);_("$"* "-"??_);_(@_)</c:formatCode>
                <c:ptCount val="3"/>
                <c:pt idx="0">
                  <c:v>-144180.88449999999</c:v>
                </c:pt>
                <c:pt idx="1">
                  <c:v>-162629.73229999997</c:v>
                </c:pt>
                <c:pt idx="2">
                  <c:v>-156465.80827500002</c:v>
                </c:pt>
              </c:numCache>
            </c:numRef>
          </c:val>
          <c:smooth val="0"/>
        </c:ser>
        <c:dLbls>
          <c:showLegendKey val="0"/>
          <c:showVal val="1"/>
          <c:showCatName val="0"/>
          <c:showSerName val="0"/>
          <c:showPercent val="0"/>
          <c:showBubbleSize val="0"/>
        </c:dLbls>
        <c:marker val="1"/>
        <c:smooth val="0"/>
        <c:axId val="350079536"/>
        <c:axId val="350080096"/>
      </c:lineChart>
      <c:catAx>
        <c:axId val="350079536"/>
        <c:scaling>
          <c:orientation val="minMax"/>
        </c:scaling>
        <c:delete val="0"/>
        <c:axPos val="b"/>
        <c:majorTickMark val="none"/>
        <c:minorTickMark val="none"/>
        <c:tickLblPos val="nextTo"/>
        <c:crossAx val="350080096"/>
        <c:crosses val="autoZero"/>
        <c:auto val="1"/>
        <c:lblAlgn val="ctr"/>
        <c:lblOffset val="100"/>
        <c:noMultiLvlLbl val="0"/>
      </c:catAx>
      <c:valAx>
        <c:axId val="350080096"/>
        <c:scaling>
          <c:orientation val="minMax"/>
        </c:scaling>
        <c:delete val="0"/>
        <c:axPos val="l"/>
        <c:majorGridlines/>
        <c:numFmt formatCode="_(&quot;$&quot;* #,##0_);_(&quot;$&quot;* \(#,##0\);_(&quot;$&quot;* &quot;-&quot;??_);_(@_)" sourceLinked="1"/>
        <c:majorTickMark val="none"/>
        <c:minorTickMark val="none"/>
        <c:tickLblPos val="nextTo"/>
        <c:txPr>
          <a:bodyPr/>
          <a:lstStyle/>
          <a:p>
            <a:pPr>
              <a:defRPr sz="800"/>
            </a:pPr>
            <a:endParaRPr lang="en-US"/>
          </a:p>
        </c:txPr>
        <c:crossAx val="350079536"/>
        <c:crosses val="autoZero"/>
        <c:crossBetween val="between"/>
      </c:valAx>
    </c:plotArea>
    <c:legend>
      <c:legendPos val="r"/>
      <c:overlay val="0"/>
      <c:txPr>
        <a:bodyPr/>
        <a:lstStyle/>
        <a:p>
          <a:pPr>
            <a:defRPr sz="800"/>
          </a:pPr>
          <a:endParaRPr lang="en-US"/>
        </a:p>
      </c:txPr>
    </c:legend>
    <c:plotVisOnly val="1"/>
    <c:dispBlanksAs val="gap"/>
    <c:showDLblsOverMax val="0"/>
  </c:chart>
  <c:spPr>
    <a:noFill/>
    <a:ln>
      <a:noFill/>
    </a:ln>
  </c:spPr>
  <c:printSettings>
    <c:headerFooter/>
    <c:pageMargins b="0.75000000000000089" l="0.70000000000000062" r="0.70000000000000062" t="0.75000000000000089"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82827</xdr:colOff>
      <xdr:row>48</xdr:row>
      <xdr:rowOff>0</xdr:rowOff>
    </xdr:from>
    <xdr:to>
      <xdr:col>4</xdr:col>
      <xdr:colOff>1043609</xdr:colOff>
      <xdr:row>62</xdr:row>
      <xdr:rowOff>16564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54430</xdr:colOff>
      <xdr:row>33</xdr:row>
      <xdr:rowOff>42333</xdr:rowOff>
    </xdr:from>
    <xdr:to>
      <xdr:col>4</xdr:col>
      <xdr:colOff>1076739</xdr:colOff>
      <xdr:row>62</xdr:row>
      <xdr:rowOff>99391</xdr:rowOff>
    </xdr:to>
    <xdr:sp macro="" textlink="">
      <xdr:nvSpPr>
        <xdr:cNvPr id="3" name="Rectangle 42"/>
        <xdr:cNvSpPr>
          <a:spLocks noChangeArrowheads="1"/>
        </xdr:cNvSpPr>
      </xdr:nvSpPr>
      <xdr:spPr bwMode="auto">
        <a:xfrm>
          <a:off x="54430" y="4813116"/>
          <a:ext cx="6273483" cy="4140384"/>
        </a:xfrm>
        <a:prstGeom prst="rect">
          <a:avLst/>
        </a:prstGeom>
        <a:noFill/>
        <a:ln w="28575">
          <a:solidFill>
            <a:srgbClr val="DD0806"/>
          </a:solidFill>
          <a:prstDash val="dash"/>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0</xdr:col>
      <xdr:colOff>74085</xdr:colOff>
      <xdr:row>33</xdr:row>
      <xdr:rowOff>83980</xdr:rowOff>
    </xdr:from>
    <xdr:to>
      <xdr:col>1</xdr:col>
      <xdr:colOff>1017893</xdr:colOff>
      <xdr:row>48</xdr:row>
      <xdr:rowOff>83980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82826</xdr:colOff>
      <xdr:row>33</xdr:row>
      <xdr:rowOff>82826</xdr:rowOff>
    </xdr:from>
    <xdr:to>
      <xdr:col>4</xdr:col>
      <xdr:colOff>1010478</xdr:colOff>
      <xdr:row>48</xdr:row>
      <xdr:rowOff>82826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23</xdr:row>
      <xdr:rowOff>28575</xdr:rowOff>
    </xdr:from>
    <xdr:to>
      <xdr:col>4</xdr:col>
      <xdr:colOff>885825</xdr:colOff>
      <xdr:row>37</xdr:row>
      <xdr:rowOff>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361950</xdr:colOff>
      <xdr:row>22</xdr:row>
      <xdr:rowOff>9525</xdr:rowOff>
    </xdr:from>
    <xdr:to>
      <xdr:col>4</xdr:col>
      <xdr:colOff>847724</xdr:colOff>
      <xdr:row>35</xdr:row>
      <xdr:rowOff>123825</xdr:rowOff>
    </xdr:to>
    <xdr:sp macro="" textlink="">
      <xdr:nvSpPr>
        <xdr:cNvPr id="7" name="Rectangle 42"/>
        <xdr:cNvSpPr>
          <a:spLocks noChangeArrowheads="1"/>
        </xdr:cNvSpPr>
      </xdr:nvSpPr>
      <xdr:spPr bwMode="auto">
        <a:xfrm>
          <a:off x="952500" y="3095625"/>
          <a:ext cx="4981574" cy="1971675"/>
        </a:xfrm>
        <a:prstGeom prst="rect">
          <a:avLst/>
        </a:prstGeom>
        <a:noFill/>
        <a:ln w="28575">
          <a:solidFill>
            <a:srgbClr val="DD0806"/>
          </a:solidFill>
          <a:prstDash val="dash"/>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xdr:col>
      <xdr:colOff>0</xdr:colOff>
      <xdr:row>2</xdr:row>
      <xdr:rowOff>57150</xdr:rowOff>
    </xdr:from>
    <xdr:to>
      <xdr:col>3</xdr:col>
      <xdr:colOff>657225</xdr:colOff>
      <xdr:row>20</xdr:row>
      <xdr:rowOff>142875</xdr:rowOff>
    </xdr:to>
    <xdr:cxnSp macro="">
      <xdr:nvCxnSpPr>
        <xdr:cNvPr id="12" name="Straight Arrow Connector 11"/>
        <xdr:cNvCxnSpPr/>
      </xdr:nvCxnSpPr>
      <xdr:spPr>
        <a:xfrm flipV="1">
          <a:off x="3838575" y="419100"/>
          <a:ext cx="657225" cy="26574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xdr:row>
      <xdr:rowOff>104775</xdr:rowOff>
    </xdr:from>
    <xdr:to>
      <xdr:col>4</xdr:col>
      <xdr:colOff>523875</xdr:colOff>
      <xdr:row>20</xdr:row>
      <xdr:rowOff>171450</xdr:rowOff>
    </xdr:to>
    <xdr:cxnSp macro="">
      <xdr:nvCxnSpPr>
        <xdr:cNvPr id="13" name="Straight Arrow Connector 12"/>
        <xdr:cNvCxnSpPr/>
      </xdr:nvCxnSpPr>
      <xdr:spPr>
        <a:xfrm flipV="1">
          <a:off x="5086350" y="466725"/>
          <a:ext cx="523875" cy="26193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19"/>
  <sheetViews>
    <sheetView zoomScale="90" zoomScaleNormal="90" zoomScalePageLayoutView="70" workbookViewId="0">
      <selection activeCell="D25" sqref="D25"/>
    </sheetView>
  </sheetViews>
  <sheetFormatPr defaultColWidth="8.81640625" defaultRowHeight="10"/>
  <cols>
    <col min="1" max="1" width="4.54296875" style="27" customWidth="1"/>
    <col min="2" max="2" width="29.7265625" style="27" customWidth="1"/>
    <col min="3" max="3" width="28.26953125" style="27" customWidth="1"/>
    <col min="4" max="4" width="63.26953125" style="27" customWidth="1"/>
    <col min="5" max="16384" width="8.81640625" style="27"/>
  </cols>
  <sheetData>
    <row r="1" spans="1:5" ht="10.5">
      <c r="B1" s="39" t="s">
        <v>78</v>
      </c>
    </row>
    <row r="3" spans="1:5" ht="10.5">
      <c r="A3" s="79"/>
      <c r="B3" s="80" t="s">
        <v>26</v>
      </c>
      <c r="C3" s="81" t="s">
        <v>60</v>
      </c>
      <c r="D3" s="82" t="s">
        <v>61</v>
      </c>
    </row>
    <row r="4" spans="1:5">
      <c r="A4" s="83">
        <v>1.1000000000000001</v>
      </c>
      <c r="B4" s="84" t="s">
        <v>56</v>
      </c>
      <c r="C4" s="85" t="s">
        <v>62</v>
      </c>
      <c r="D4" s="169" t="s">
        <v>80</v>
      </c>
      <c r="E4" s="42"/>
    </row>
    <row r="5" spans="1:5">
      <c r="A5" s="71"/>
      <c r="B5" s="4"/>
      <c r="C5" s="86" t="s">
        <v>63</v>
      </c>
      <c r="D5" s="170"/>
    </row>
    <row r="6" spans="1:5">
      <c r="A6" s="76"/>
      <c r="B6" s="87"/>
      <c r="C6" s="88" t="s">
        <v>64</v>
      </c>
      <c r="D6" s="171"/>
    </row>
    <row r="7" spans="1:5">
      <c r="A7" s="83">
        <v>1.2</v>
      </c>
      <c r="B7" s="84" t="s">
        <v>21</v>
      </c>
      <c r="C7" s="85" t="s">
        <v>62</v>
      </c>
      <c r="D7" s="169" t="s">
        <v>81</v>
      </c>
    </row>
    <row r="8" spans="1:5">
      <c r="A8" s="71"/>
      <c r="B8" s="4"/>
      <c r="C8" s="86" t="s">
        <v>63</v>
      </c>
      <c r="D8" s="170"/>
    </row>
    <row r="9" spans="1:5" ht="15" customHeight="1">
      <c r="A9" s="76"/>
      <c r="B9" s="87"/>
      <c r="C9" s="88" t="s">
        <v>64</v>
      </c>
      <c r="D9" s="171"/>
    </row>
    <row r="10" spans="1:5">
      <c r="A10" s="89">
        <v>1.3</v>
      </c>
      <c r="B10" s="84" t="s">
        <v>27</v>
      </c>
      <c r="C10" s="85" t="s">
        <v>62</v>
      </c>
      <c r="D10" s="169" t="s">
        <v>82</v>
      </c>
    </row>
    <row r="11" spans="1:5">
      <c r="A11" s="90"/>
      <c r="B11" s="87"/>
      <c r="C11" s="88" t="s">
        <v>65</v>
      </c>
      <c r="D11" s="171"/>
    </row>
    <row r="12" spans="1:5" ht="10.5">
      <c r="A12" s="79"/>
      <c r="B12" s="80" t="s">
        <v>57</v>
      </c>
      <c r="C12" s="81"/>
      <c r="D12" s="91"/>
    </row>
    <row r="13" spans="1:5">
      <c r="A13" s="83">
        <v>2.1</v>
      </c>
      <c r="B13" s="92" t="s">
        <v>58</v>
      </c>
      <c r="C13" s="93" t="s">
        <v>66</v>
      </c>
      <c r="D13" s="172" t="s">
        <v>83</v>
      </c>
    </row>
    <row r="14" spans="1:5" ht="13.15" customHeight="1">
      <c r="A14" s="76"/>
      <c r="B14" s="77"/>
      <c r="C14" s="78" t="s">
        <v>65</v>
      </c>
      <c r="D14" s="173"/>
    </row>
    <row r="15" spans="1:5">
      <c r="A15" s="83">
        <v>2.2000000000000002</v>
      </c>
      <c r="B15" s="92" t="s">
        <v>21</v>
      </c>
      <c r="C15" s="93" t="s">
        <v>62</v>
      </c>
      <c r="D15" s="169" t="s">
        <v>84</v>
      </c>
    </row>
    <row r="16" spans="1:5">
      <c r="A16" s="71"/>
      <c r="B16" s="69"/>
      <c r="C16" s="70" t="s">
        <v>63</v>
      </c>
      <c r="D16" s="170"/>
    </row>
    <row r="17" spans="1:4">
      <c r="A17" s="76"/>
      <c r="B17" s="77"/>
      <c r="C17" s="78" t="s">
        <v>64</v>
      </c>
      <c r="D17" s="171"/>
    </row>
    <row r="18" spans="1:4">
      <c r="A18" s="94">
        <v>2.6</v>
      </c>
      <c r="B18" s="94" t="s">
        <v>59</v>
      </c>
      <c r="C18" s="94" t="s">
        <v>66</v>
      </c>
      <c r="D18" s="95" t="s">
        <v>67</v>
      </c>
    </row>
    <row r="19" spans="1:4">
      <c r="A19" s="71"/>
      <c r="B19" s="69"/>
      <c r="C19" s="69"/>
      <c r="D19" s="69"/>
    </row>
  </sheetData>
  <sheetProtection password="DA21" sheet="1" objects="1" scenarios="1" selectLockedCells="1" selectUnlockedCells="1"/>
  <mergeCells count="5">
    <mergeCell ref="D4:D6"/>
    <mergeCell ref="D7:D9"/>
    <mergeCell ref="D10:D11"/>
    <mergeCell ref="D13:D14"/>
    <mergeCell ref="D15:D17"/>
  </mergeCells>
  <pageMargins left="0.7" right="0.7" top="0.5" bottom="0.5" header="0.3" footer="0.3"/>
  <pageSetup orientation="landscape" horizontalDpi="1200" verticalDpi="1200" r:id="rId1"/>
  <headerFooter>
    <oddHeader>&amp;C&amp;"-,Bold"&amp;UAssumptions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Q389"/>
  <sheetViews>
    <sheetView zoomScaleNormal="100" workbookViewId="0">
      <selection activeCell="B70" sqref="B70"/>
    </sheetView>
  </sheetViews>
  <sheetFormatPr defaultColWidth="10.54296875" defaultRowHeight="14.5"/>
  <cols>
    <col min="1" max="16384" width="10.54296875" style="98"/>
  </cols>
  <sheetData>
    <row r="1" spans="1:17">
      <c r="A1" s="98">
        <v>1</v>
      </c>
      <c r="B1" s="98" t="s">
        <v>135</v>
      </c>
    </row>
    <row r="2" spans="1:17">
      <c r="D2" s="98" t="s">
        <v>136</v>
      </c>
    </row>
    <row r="4" spans="1:17">
      <c r="B4" s="98" t="s">
        <v>137</v>
      </c>
      <c r="D4" s="98" t="s">
        <v>138</v>
      </c>
      <c r="E4" s="98" t="s">
        <v>139</v>
      </c>
      <c r="F4" s="98" t="s">
        <v>140</v>
      </c>
      <c r="G4" s="98" t="s">
        <v>141</v>
      </c>
      <c r="H4" s="98" t="s">
        <v>142</v>
      </c>
      <c r="I4" s="98" t="s">
        <v>143</v>
      </c>
      <c r="J4" s="98" t="s">
        <v>144</v>
      </c>
      <c r="K4" s="98" t="s">
        <v>145</v>
      </c>
      <c r="L4" s="98" t="s">
        <v>146</v>
      </c>
      <c r="M4" s="98" t="s">
        <v>147</v>
      </c>
      <c r="N4" s="98" t="s">
        <v>148</v>
      </c>
      <c r="O4" s="98" t="s">
        <v>149</v>
      </c>
      <c r="P4" s="98" t="s">
        <v>150</v>
      </c>
    </row>
    <row r="6" spans="1:17">
      <c r="B6" s="98" t="s">
        <v>151</v>
      </c>
      <c r="C6" s="98" t="s">
        <v>0</v>
      </c>
      <c r="D6" s="98">
        <v>1206.6367713004486</v>
      </c>
      <c r="E6" s="98">
        <v>1206.6367713004486</v>
      </c>
      <c r="F6" s="98">
        <v>1310.0292112950344</v>
      </c>
      <c r="G6" s="98">
        <v>1389.3975903614457</v>
      </c>
      <c r="H6" s="98">
        <v>1588.6310220000003</v>
      </c>
      <c r="I6" s="98">
        <v>1852.530120481928</v>
      </c>
      <c r="J6" s="98">
        <v>1852.530120481928</v>
      </c>
      <c r="K6" s="98">
        <v>1985.7887775000004</v>
      </c>
      <c r="L6" s="98">
        <v>1985.7887775000004</v>
      </c>
      <c r="M6" s="98">
        <v>1927.3537604456828</v>
      </c>
      <c r="N6" s="98">
        <v>1389.3975903614457</v>
      </c>
      <c r="O6" s="98">
        <v>1389.3975903614457</v>
      </c>
      <c r="P6" s="98">
        <v>19084.118103389806</v>
      </c>
      <c r="Q6" s="98" t="s">
        <v>0</v>
      </c>
    </row>
    <row r="7" spans="1:17">
      <c r="C7" s="98" t="s">
        <v>1</v>
      </c>
      <c r="D7" s="98">
        <v>1509.7736057426832</v>
      </c>
      <c r="E7" s="98">
        <v>1509.7736057426832</v>
      </c>
      <c r="F7" s="98">
        <v>1568.9734830000002</v>
      </c>
      <c r="G7" s="98">
        <v>1390.8605341246289</v>
      </c>
      <c r="H7" s="98">
        <v>1622.6706231454002</v>
      </c>
      <c r="I7" s="98">
        <v>2086.2908011869431</v>
      </c>
      <c r="J7" s="98">
        <v>2086.2908011869431</v>
      </c>
      <c r="K7" s="98">
        <v>2193.2618683001529</v>
      </c>
      <c r="L7" s="98">
        <v>2193.2618683001529</v>
      </c>
      <c r="M7" s="98">
        <v>2143.798024149286</v>
      </c>
      <c r="N7" s="98">
        <v>1390.8605341246289</v>
      </c>
      <c r="O7" s="98">
        <v>1390.8605341246289</v>
      </c>
      <c r="P7" s="98">
        <v>21086.67628312813</v>
      </c>
      <c r="Q7" s="98" t="s">
        <v>1</v>
      </c>
    </row>
    <row r="8" spans="1:17">
      <c r="C8" s="98" t="s">
        <v>2</v>
      </c>
      <c r="D8" s="98">
        <v>1441.9646081617916</v>
      </c>
      <c r="E8" s="98">
        <v>1441.9646081617916</v>
      </c>
      <c r="F8" s="98">
        <v>1500.1127113337511</v>
      </c>
      <c r="G8" s="98">
        <v>1544.6034816247582</v>
      </c>
      <c r="H8" s="98">
        <v>1765.2611218568666</v>
      </c>
      <c r="I8" s="98">
        <v>2206.5764023210836</v>
      </c>
      <c r="J8" s="98">
        <v>2206.5764023210836</v>
      </c>
      <c r="K8" s="98">
        <v>2274.0199335548177</v>
      </c>
      <c r="L8" s="98">
        <v>2274.0199335548177</v>
      </c>
      <c r="M8" s="98">
        <v>2242.8596961572839</v>
      </c>
      <c r="N8" s="98">
        <v>1544.6034816247582</v>
      </c>
      <c r="O8" s="98">
        <v>1544.6034816247582</v>
      </c>
      <c r="P8" s="98">
        <v>21987.165862297563</v>
      </c>
      <c r="Q8" s="98" t="s">
        <v>2</v>
      </c>
    </row>
    <row r="9" spans="1:17">
      <c r="B9" s="98" t="s">
        <v>152</v>
      </c>
      <c r="C9" s="98" t="s">
        <v>0</v>
      </c>
      <c r="D9" s="98">
        <v>1220.3174603174602</v>
      </c>
      <c r="E9" s="98">
        <v>1220.3174603174602</v>
      </c>
      <c r="F9" s="98">
        <v>1261.7067833698034</v>
      </c>
      <c r="G9" s="98">
        <v>1471.9912472647702</v>
      </c>
      <c r="H9" s="98">
        <v>1682.2757111597373</v>
      </c>
      <c r="I9" s="98">
        <v>2102.8446389496717</v>
      </c>
      <c r="J9" s="98">
        <v>2102.8446389496717</v>
      </c>
      <c r="K9" s="98">
        <v>2346.2868769074262</v>
      </c>
      <c r="L9" s="98">
        <v>2346.2868769074262</v>
      </c>
      <c r="M9" s="98">
        <v>2313.129102844639</v>
      </c>
      <c r="N9" s="98">
        <v>1471.9912472647702</v>
      </c>
      <c r="O9" s="98">
        <v>1431.5304131938292</v>
      </c>
      <c r="P9" s="98">
        <v>20971.522457446667</v>
      </c>
      <c r="Q9" s="98" t="s">
        <v>0</v>
      </c>
    </row>
    <row r="10" spans="1:17">
      <c r="C10" s="98" t="s">
        <v>1</v>
      </c>
      <c r="D10" s="98">
        <v>1216.3830843525745</v>
      </c>
      <c r="E10" s="98">
        <v>1216.3830843525745</v>
      </c>
      <c r="F10" s="98">
        <v>1257.5014580660213</v>
      </c>
      <c r="G10" s="98">
        <v>1467.085034410358</v>
      </c>
      <c r="H10" s="98">
        <v>1676.668610754695</v>
      </c>
      <c r="I10" s="98">
        <v>2095.8357634433683</v>
      </c>
      <c r="J10" s="98">
        <v>2095.8357634433683</v>
      </c>
      <c r="K10" s="98">
        <v>2338.3548759206124</v>
      </c>
      <c r="L10" s="98">
        <v>2338.3548759206124</v>
      </c>
      <c r="M10" s="98">
        <v>2305.4193397877057</v>
      </c>
      <c r="N10" s="98">
        <v>1467.085034410358</v>
      </c>
      <c r="O10" s="98">
        <v>1467.085034410358</v>
      </c>
      <c r="P10" s="98">
        <v>20941.991959272604</v>
      </c>
      <c r="Q10" s="98" t="s">
        <v>1</v>
      </c>
    </row>
    <row r="11" spans="1:17">
      <c r="C11" s="98" t="s">
        <v>2</v>
      </c>
      <c r="D11" s="98">
        <v>1233.9238597813796</v>
      </c>
      <c r="E11" s="98">
        <v>1233.9238597813796</v>
      </c>
      <c r="F11" s="98">
        <v>1276.2573099415204</v>
      </c>
      <c r="G11" s="98">
        <v>1488.9668615984408</v>
      </c>
      <c r="H11" s="98">
        <v>1701.6764132553608</v>
      </c>
      <c r="I11" s="98">
        <v>2127.0955165692012</v>
      </c>
      <c r="J11" s="98">
        <v>2127.0955165692012</v>
      </c>
      <c r="K11" s="98">
        <v>2373.737640079104</v>
      </c>
      <c r="L11" s="98">
        <v>2373.737640079104</v>
      </c>
      <c r="M11" s="98">
        <v>2339.8050682261214</v>
      </c>
      <c r="N11" s="98">
        <v>1488.9668615984408</v>
      </c>
      <c r="O11" s="98">
        <v>1488.9668615984408</v>
      </c>
      <c r="P11" s="98">
        <v>21254.153409077695</v>
      </c>
      <c r="Q11" s="98" t="s">
        <v>2</v>
      </c>
    </row>
    <row r="12" spans="1:17">
      <c r="B12" s="98" t="s">
        <v>153</v>
      </c>
      <c r="C12" s="98" t="s">
        <v>0</v>
      </c>
      <c r="D12" s="98">
        <v>0</v>
      </c>
      <c r="E12" s="98">
        <v>0</v>
      </c>
      <c r="F12" s="98">
        <v>0</v>
      </c>
      <c r="G12" s="98">
        <v>0</v>
      </c>
      <c r="H12" s="98">
        <v>0</v>
      </c>
      <c r="I12" s="98">
        <v>1208.7409950000003</v>
      </c>
      <c r="J12" s="98">
        <v>1208.7409950000003</v>
      </c>
      <c r="K12" s="98">
        <v>1240</v>
      </c>
      <c r="L12" s="98">
        <v>1240</v>
      </c>
      <c r="M12" s="98">
        <v>1240</v>
      </c>
      <c r="N12" s="98">
        <v>0</v>
      </c>
      <c r="O12" s="98">
        <v>0</v>
      </c>
      <c r="P12" s="98">
        <v>6137.4819900000002</v>
      </c>
      <c r="Q12" s="98" t="s">
        <v>0</v>
      </c>
    </row>
    <row r="13" spans="1:17">
      <c r="C13" s="98" t="s">
        <v>1</v>
      </c>
      <c r="D13" s="98">
        <v>0</v>
      </c>
      <c r="E13" s="98">
        <v>0</v>
      </c>
      <c r="F13" s="98">
        <v>0</v>
      </c>
      <c r="G13" s="98">
        <v>0</v>
      </c>
      <c r="H13" s="98">
        <v>1045.9823220000003</v>
      </c>
      <c r="I13" s="98">
        <v>1240</v>
      </c>
      <c r="J13" s="98">
        <v>1240</v>
      </c>
      <c r="K13" s="98">
        <v>1240</v>
      </c>
      <c r="L13" s="98">
        <v>1240</v>
      </c>
      <c r="M13" s="98">
        <v>1240</v>
      </c>
      <c r="N13" s="98">
        <v>0</v>
      </c>
      <c r="O13" s="98">
        <v>0</v>
      </c>
      <c r="P13" s="98">
        <v>7245.9823219999998</v>
      </c>
      <c r="Q13" s="98" t="s">
        <v>1</v>
      </c>
    </row>
    <row r="14" spans="1:17">
      <c r="C14" s="98" t="s">
        <v>2</v>
      </c>
      <c r="D14" s="98">
        <v>0</v>
      </c>
      <c r="E14" s="98">
        <v>0</v>
      </c>
      <c r="F14" s="98">
        <v>0</v>
      </c>
      <c r="G14" s="98">
        <v>1086.7348800000004</v>
      </c>
      <c r="H14" s="98">
        <v>1240</v>
      </c>
      <c r="I14" s="98">
        <v>1240</v>
      </c>
      <c r="J14" s="98">
        <v>1240</v>
      </c>
      <c r="K14" s="98">
        <v>1240</v>
      </c>
      <c r="L14" s="98">
        <v>1240</v>
      </c>
      <c r="M14" s="98">
        <v>1240</v>
      </c>
      <c r="N14" s="98">
        <v>1086.7348800000004</v>
      </c>
      <c r="O14" s="98">
        <v>1086.7348800000004</v>
      </c>
      <c r="P14" s="98">
        <v>10700.20464</v>
      </c>
      <c r="Q14" s="98" t="s">
        <v>2</v>
      </c>
    </row>
    <row r="15" spans="1:17">
      <c r="B15" s="98" t="s">
        <v>154</v>
      </c>
      <c r="C15" s="98" t="s">
        <v>0</v>
      </c>
      <c r="D15" s="98">
        <v>0</v>
      </c>
      <c r="E15" s="98">
        <v>0</v>
      </c>
      <c r="F15" s="98">
        <v>0</v>
      </c>
      <c r="G15" s="98">
        <v>0</v>
      </c>
      <c r="H15" s="98">
        <v>0</v>
      </c>
      <c r="I15" s="98">
        <v>1036.0637100000001</v>
      </c>
      <c r="J15" s="98">
        <v>1036.0637100000001</v>
      </c>
      <c r="K15" s="98">
        <v>1240</v>
      </c>
      <c r="L15" s="98">
        <v>1240</v>
      </c>
      <c r="M15" s="98">
        <v>1139.6700810000002</v>
      </c>
      <c r="N15" s="98">
        <v>0</v>
      </c>
      <c r="O15" s="98">
        <v>0</v>
      </c>
      <c r="P15" s="98">
        <v>5691.7975010000009</v>
      </c>
      <c r="Q15" s="98" t="s">
        <v>0</v>
      </c>
    </row>
    <row r="16" spans="1:17">
      <c r="C16" s="98" t="s">
        <v>1</v>
      </c>
      <c r="D16" s="98">
        <v>0</v>
      </c>
      <c r="E16" s="98">
        <v>0</v>
      </c>
      <c r="F16" s="98">
        <v>0</v>
      </c>
      <c r="G16" s="98">
        <v>0</v>
      </c>
      <c r="H16" s="98">
        <v>0</v>
      </c>
      <c r="I16" s="98">
        <v>1214.0866237500002</v>
      </c>
      <c r="J16" s="98">
        <v>1214.0866237500002</v>
      </c>
      <c r="K16" s="98">
        <v>1240</v>
      </c>
      <c r="L16" s="98">
        <v>1240</v>
      </c>
      <c r="M16" s="98">
        <v>1240</v>
      </c>
      <c r="N16" s="98">
        <v>0</v>
      </c>
      <c r="O16" s="98">
        <v>0</v>
      </c>
      <c r="P16" s="98">
        <v>6148.1732475000008</v>
      </c>
      <c r="Q16" s="98" t="s">
        <v>1</v>
      </c>
    </row>
    <row r="17" spans="2:17">
      <c r="C17" s="98" t="s">
        <v>2</v>
      </c>
      <c r="D17" s="98">
        <v>0</v>
      </c>
      <c r="E17" s="98">
        <v>0</v>
      </c>
      <c r="F17" s="98">
        <v>0</v>
      </c>
      <c r="G17" s="98">
        <v>0</v>
      </c>
      <c r="H17" s="98">
        <v>1076.3850240000004</v>
      </c>
      <c r="I17" s="98">
        <v>1240</v>
      </c>
      <c r="J17" s="98">
        <v>1240</v>
      </c>
      <c r="K17" s="98">
        <v>1240</v>
      </c>
      <c r="L17" s="98">
        <v>1240</v>
      </c>
      <c r="M17" s="98">
        <v>1240</v>
      </c>
      <c r="N17" s="98">
        <v>0</v>
      </c>
      <c r="O17" s="98">
        <v>0</v>
      </c>
      <c r="P17" s="98">
        <v>7276.3850240000002</v>
      </c>
      <c r="Q17" s="98" t="s">
        <v>2</v>
      </c>
    </row>
    <row r="18" spans="2:17">
      <c r="B18" s="98" t="s">
        <v>155</v>
      </c>
      <c r="C18" s="98" t="s">
        <v>0</v>
      </c>
      <c r="D18" s="98">
        <v>0</v>
      </c>
      <c r="E18" s="98">
        <v>0</v>
      </c>
      <c r="F18" s="98">
        <v>0</v>
      </c>
      <c r="G18" s="98">
        <v>0</v>
      </c>
      <c r="H18" s="98">
        <v>0</v>
      </c>
      <c r="I18" s="98">
        <v>1036.0637100000001</v>
      </c>
      <c r="J18" s="98">
        <v>1036.0637100000001</v>
      </c>
      <c r="K18" s="98">
        <v>1240</v>
      </c>
      <c r="L18" s="98">
        <v>1240</v>
      </c>
      <c r="M18" s="98">
        <v>1139.6700810000002</v>
      </c>
      <c r="N18" s="98">
        <v>0</v>
      </c>
      <c r="O18" s="98">
        <v>0</v>
      </c>
      <c r="P18" s="98">
        <v>5691.7975010000009</v>
      </c>
      <c r="Q18" s="98" t="s">
        <v>0</v>
      </c>
    </row>
    <row r="19" spans="2:17">
      <c r="C19" s="98" t="s">
        <v>1</v>
      </c>
      <c r="D19" s="98">
        <v>0</v>
      </c>
      <c r="E19" s="98">
        <v>0</v>
      </c>
      <c r="F19" s="98">
        <v>0</v>
      </c>
      <c r="G19" s="98">
        <v>0</v>
      </c>
      <c r="H19" s="98">
        <v>0</v>
      </c>
      <c r="I19" s="98">
        <v>1214.0866237500002</v>
      </c>
      <c r="J19" s="98">
        <v>1214.0866237500002</v>
      </c>
      <c r="K19" s="98">
        <v>1240</v>
      </c>
      <c r="L19" s="98">
        <v>1240</v>
      </c>
      <c r="M19" s="98">
        <v>1240</v>
      </c>
      <c r="N19" s="98">
        <v>0</v>
      </c>
      <c r="O19" s="98">
        <v>0</v>
      </c>
      <c r="P19" s="98">
        <v>6148.1732475000008</v>
      </c>
      <c r="Q19" s="98" t="s">
        <v>1</v>
      </c>
    </row>
    <row r="20" spans="2:17">
      <c r="C20" s="98" t="s">
        <v>2</v>
      </c>
      <c r="D20" s="98">
        <v>0</v>
      </c>
      <c r="E20" s="98">
        <v>0</v>
      </c>
      <c r="F20" s="98">
        <v>0</v>
      </c>
      <c r="G20" s="98">
        <v>0</v>
      </c>
      <c r="H20" s="98">
        <v>1076.3850240000004</v>
      </c>
      <c r="I20" s="98">
        <v>1240</v>
      </c>
      <c r="J20" s="98">
        <v>1240</v>
      </c>
      <c r="K20" s="98">
        <v>1240</v>
      </c>
      <c r="L20" s="98">
        <v>1240</v>
      </c>
      <c r="M20" s="98">
        <v>1240</v>
      </c>
      <c r="N20" s="98">
        <v>0</v>
      </c>
      <c r="O20" s="98">
        <v>0</v>
      </c>
      <c r="P20" s="98">
        <v>7276.3850240000002</v>
      </c>
      <c r="Q20" s="98" t="s">
        <v>2</v>
      </c>
    </row>
    <row r="21" spans="2:17">
      <c r="B21" s="98" t="s">
        <v>156</v>
      </c>
      <c r="C21" s="98" t="s">
        <v>0</v>
      </c>
      <c r="D21" s="98">
        <v>0</v>
      </c>
      <c r="E21" s="98">
        <v>0</v>
      </c>
      <c r="F21" s="98">
        <v>0</v>
      </c>
      <c r="G21" s="98">
        <v>0</v>
      </c>
      <c r="H21" s="98">
        <v>0</v>
      </c>
      <c r="I21" s="98">
        <v>1208.7409950000003</v>
      </c>
      <c r="J21" s="98">
        <v>1208.7409950000003</v>
      </c>
      <c r="K21" s="98">
        <v>1240</v>
      </c>
      <c r="L21" s="98">
        <v>1240</v>
      </c>
      <c r="M21" s="98">
        <v>1240</v>
      </c>
      <c r="N21" s="98">
        <v>0</v>
      </c>
      <c r="O21" s="98">
        <v>0</v>
      </c>
      <c r="P21" s="98">
        <v>6137.4819900000002</v>
      </c>
      <c r="Q21" s="98" t="s">
        <v>0</v>
      </c>
    </row>
    <row r="22" spans="2:17">
      <c r="C22" s="98" t="s">
        <v>1</v>
      </c>
      <c r="D22" s="98">
        <v>0</v>
      </c>
      <c r="E22" s="98">
        <v>0</v>
      </c>
      <c r="F22" s="98">
        <v>0</v>
      </c>
      <c r="G22" s="98">
        <v>0</v>
      </c>
      <c r="H22" s="98">
        <v>0</v>
      </c>
      <c r="I22" s="98">
        <v>1214.0866237500002</v>
      </c>
      <c r="J22" s="98">
        <v>1214.0866237500002</v>
      </c>
      <c r="K22" s="98">
        <v>1240</v>
      </c>
      <c r="L22" s="98">
        <v>1240</v>
      </c>
      <c r="M22" s="98">
        <v>1240</v>
      </c>
      <c r="N22" s="98">
        <v>0</v>
      </c>
      <c r="O22" s="98">
        <v>0</v>
      </c>
      <c r="P22" s="98">
        <v>6148.1732475000008</v>
      </c>
      <c r="Q22" s="98" t="s">
        <v>1</v>
      </c>
    </row>
    <row r="23" spans="2:17">
      <c r="C23" s="98" t="s">
        <v>2</v>
      </c>
      <c r="D23" s="98">
        <v>0</v>
      </c>
      <c r="E23" s="98">
        <v>0</v>
      </c>
      <c r="F23" s="98">
        <v>0</v>
      </c>
      <c r="G23" s="98">
        <v>1014.2858880000005</v>
      </c>
      <c r="H23" s="98">
        <v>1159.1838720000005</v>
      </c>
      <c r="I23" s="98">
        <v>1240</v>
      </c>
      <c r="J23" s="98">
        <v>1240</v>
      </c>
      <c r="K23" s="98">
        <v>1240</v>
      </c>
      <c r="L23" s="98">
        <v>1240</v>
      </c>
      <c r="M23" s="98">
        <v>1240</v>
      </c>
      <c r="N23" s="98">
        <v>1014.2858880000005</v>
      </c>
      <c r="O23" s="98">
        <v>1014.2858880000005</v>
      </c>
      <c r="P23" s="98">
        <v>10402.041536000001</v>
      </c>
      <c r="Q23" s="98" t="s">
        <v>2</v>
      </c>
    </row>
    <row r="24" spans="2:17">
      <c r="B24" s="98" t="s">
        <v>157</v>
      </c>
      <c r="C24" s="98" t="s">
        <v>0</v>
      </c>
      <c r="D24" s="98">
        <v>3753.3632286995517</v>
      </c>
      <c r="E24" s="98">
        <v>3753.3632286995517</v>
      </c>
      <c r="F24" s="98">
        <v>4889.9707887049653</v>
      </c>
      <c r="G24" s="98">
        <v>6050.6024096385545</v>
      </c>
      <c r="H24" s="98">
        <v>6918.2318700000005</v>
      </c>
      <c r="I24" s="98">
        <v>8067.469879518072</v>
      </c>
      <c r="J24" s="98">
        <v>8067.469879518072</v>
      </c>
      <c r="K24" s="98">
        <v>10377.347804999999</v>
      </c>
      <c r="L24" s="98">
        <v>10377.347804999999</v>
      </c>
      <c r="M24" s="98">
        <v>9232.6462395543167</v>
      </c>
      <c r="N24" s="98">
        <v>6050.6024096385545</v>
      </c>
      <c r="O24" s="98">
        <v>6050.6024096385545</v>
      </c>
      <c r="P24" s="98">
        <v>83589.017953610179</v>
      </c>
      <c r="Q24" s="98" t="s">
        <v>0</v>
      </c>
    </row>
    <row r="25" spans="2:17">
      <c r="C25" s="98" t="s">
        <v>1</v>
      </c>
      <c r="D25" s="98">
        <v>4690.2263942573163</v>
      </c>
      <c r="E25" s="98">
        <v>4690.2263942573163</v>
      </c>
      <c r="F25" s="98">
        <v>5848.9623720000018</v>
      </c>
      <c r="G25" s="98">
        <v>6049.1394658753707</v>
      </c>
      <c r="H25" s="98">
        <v>7057.3293768545991</v>
      </c>
      <c r="I25" s="98">
        <v>9073.709198813056</v>
      </c>
      <c r="J25" s="98">
        <v>9073.709198813056</v>
      </c>
      <c r="K25" s="98">
        <v>11446.738131699847</v>
      </c>
      <c r="L25" s="98">
        <v>11446.738131699847</v>
      </c>
      <c r="M25" s="98">
        <v>10256.201975850716</v>
      </c>
      <c r="N25" s="98">
        <v>6049.1394658753707</v>
      </c>
      <c r="O25" s="98">
        <v>6049.1394658753707</v>
      </c>
      <c r="P25" s="98">
        <v>91731.259571871866</v>
      </c>
      <c r="Q25" s="98" t="s">
        <v>1</v>
      </c>
    </row>
    <row r="26" spans="2:17">
      <c r="C26" s="98" t="s">
        <v>2</v>
      </c>
      <c r="D26" s="98">
        <v>4758.0353918382089</v>
      </c>
      <c r="E26" s="98">
        <v>4758.0353918382089</v>
      </c>
      <c r="F26" s="98">
        <v>5939.8872886662484</v>
      </c>
      <c r="G26" s="98">
        <v>7135.3965183752407</v>
      </c>
      <c r="H26" s="98">
        <v>8154.7388781431328</v>
      </c>
      <c r="I26" s="98">
        <v>10193.423597678917</v>
      </c>
      <c r="J26" s="98">
        <v>10193.423597678917</v>
      </c>
      <c r="K26" s="98">
        <v>12605.98006644518</v>
      </c>
      <c r="L26" s="98">
        <v>12605.98006644518</v>
      </c>
      <c r="M26" s="98">
        <v>11397.140303842716</v>
      </c>
      <c r="N26" s="98">
        <v>7135.3965183752407</v>
      </c>
      <c r="O26" s="98">
        <v>7135.3965183752407</v>
      </c>
      <c r="P26" s="98">
        <v>102012.83413770242</v>
      </c>
      <c r="Q26" s="98" t="s">
        <v>2</v>
      </c>
    </row>
    <row r="27" spans="2:17">
      <c r="B27" s="98" t="s">
        <v>158</v>
      </c>
      <c r="C27" s="98" t="s">
        <v>0</v>
      </c>
      <c r="D27" s="98">
        <v>4979.6825396825398</v>
      </c>
      <c r="E27" s="98">
        <v>4979.6825396825398</v>
      </c>
      <c r="F27" s="98">
        <v>6178.2932166301971</v>
      </c>
      <c r="G27" s="98">
        <v>7208.0087527352298</v>
      </c>
      <c r="H27" s="98">
        <v>8237.7242888402616</v>
      </c>
      <c r="I27" s="98">
        <v>10297.155361050329</v>
      </c>
      <c r="J27" s="98">
        <v>10297.155361050329</v>
      </c>
      <c r="K27" s="98">
        <v>12533.713123092573</v>
      </c>
      <c r="L27" s="98">
        <v>12533.713123092573</v>
      </c>
      <c r="M27" s="98">
        <v>11326.870897155361</v>
      </c>
      <c r="N27" s="98">
        <v>7208.0087527352298</v>
      </c>
      <c r="O27" s="98">
        <v>6008.4695868061717</v>
      </c>
      <c r="P27" s="98">
        <v>101788.47754255333</v>
      </c>
      <c r="Q27" s="98" t="s">
        <v>0</v>
      </c>
    </row>
    <row r="28" spans="2:17">
      <c r="C28" s="98" t="s">
        <v>1</v>
      </c>
      <c r="D28" s="98">
        <v>4983.616915647427</v>
      </c>
      <c r="E28" s="98">
        <v>4983.616915647427</v>
      </c>
      <c r="F28" s="98">
        <v>6182.4985419339801</v>
      </c>
      <c r="G28" s="98">
        <v>7212.9149655896417</v>
      </c>
      <c r="H28" s="98">
        <v>8243.3313892453043</v>
      </c>
      <c r="I28" s="98">
        <v>10304.164236556633</v>
      </c>
      <c r="J28" s="98">
        <v>10304.164236556633</v>
      </c>
      <c r="K28" s="98">
        <v>12541.645124079389</v>
      </c>
      <c r="L28" s="98">
        <v>12541.645124079389</v>
      </c>
      <c r="M28" s="98">
        <v>11334.580660212294</v>
      </c>
      <c r="N28" s="98">
        <v>7212.9149655896417</v>
      </c>
      <c r="O28" s="98">
        <v>7212.9149655896417</v>
      </c>
      <c r="P28" s="98">
        <v>103058.00804072741</v>
      </c>
      <c r="Q28" s="98" t="s">
        <v>1</v>
      </c>
    </row>
    <row r="29" spans="2:17">
      <c r="C29" s="98" t="s">
        <v>2</v>
      </c>
      <c r="D29" s="98">
        <v>4966.0761402186199</v>
      </c>
      <c r="E29" s="98">
        <v>4966.0761402186199</v>
      </c>
      <c r="F29" s="98">
        <v>6163.7426900584787</v>
      </c>
      <c r="G29" s="98">
        <v>7191.0331384015599</v>
      </c>
      <c r="H29" s="98">
        <v>8218.3235867446401</v>
      </c>
      <c r="I29" s="98">
        <v>10272.904483430801</v>
      </c>
      <c r="J29" s="98">
        <v>10272.904483430801</v>
      </c>
      <c r="K29" s="98">
        <v>12506.262359920895</v>
      </c>
      <c r="L29" s="98">
        <v>12506.262359920895</v>
      </c>
      <c r="M29" s="98">
        <v>11300.194931773878</v>
      </c>
      <c r="N29" s="98">
        <v>7191.0331384015599</v>
      </c>
      <c r="O29" s="98">
        <v>7191.0331384015599</v>
      </c>
      <c r="P29" s="98">
        <v>102745.8465909223</v>
      </c>
      <c r="Q29" s="98" t="s">
        <v>2</v>
      </c>
    </row>
    <row r="30" spans="2:17">
      <c r="B30" s="98" t="s">
        <v>159</v>
      </c>
      <c r="C30" s="98" t="s">
        <v>0</v>
      </c>
      <c r="D30" s="98">
        <v>0</v>
      </c>
      <c r="E30" s="98">
        <v>470.39058999999907</v>
      </c>
      <c r="F30" s="98">
        <v>0</v>
      </c>
      <c r="G30" s="98">
        <v>0</v>
      </c>
      <c r="H30" s="98">
        <v>173.13710800000263</v>
      </c>
      <c r="I30" s="98">
        <v>470.39058999999907</v>
      </c>
      <c r="J30" s="98">
        <v>470.39058999999907</v>
      </c>
      <c r="K30" s="98">
        <v>36.863417500000651</v>
      </c>
      <c r="L30" s="98">
        <v>36.863417500000651</v>
      </c>
      <c r="M30" s="98">
        <v>200.65983799999958</v>
      </c>
      <c r="N30" s="98">
        <v>0</v>
      </c>
      <c r="O30" s="98">
        <v>0</v>
      </c>
      <c r="P30" s="98">
        <v>1858.6955510000007</v>
      </c>
      <c r="Q30" s="98" t="s">
        <v>0</v>
      </c>
    </row>
    <row r="31" spans="2:17">
      <c r="C31" s="98" t="s">
        <v>1</v>
      </c>
      <c r="D31" s="98">
        <v>0</v>
      </c>
      <c r="E31" s="98">
        <v>0</v>
      </c>
      <c r="F31" s="98">
        <v>22.064144999996643</v>
      </c>
      <c r="G31" s="98">
        <v>0</v>
      </c>
      <c r="H31" s="98">
        <v>194.01767800000016</v>
      </c>
      <c r="I31" s="98">
        <v>77.740128749999712</v>
      </c>
      <c r="J31" s="98">
        <v>77.740128749999712</v>
      </c>
      <c r="K31" s="98">
        <v>0</v>
      </c>
      <c r="L31" s="98">
        <v>0</v>
      </c>
      <c r="M31" s="98">
        <v>0</v>
      </c>
      <c r="N31" s="98">
        <v>0</v>
      </c>
      <c r="O31" s="98">
        <v>0</v>
      </c>
      <c r="P31" s="98">
        <v>371.56208049999623</v>
      </c>
      <c r="Q31" s="98" t="s">
        <v>1</v>
      </c>
    </row>
    <row r="32" spans="2:17">
      <c r="C32" s="98" t="s">
        <v>2</v>
      </c>
      <c r="D32" s="98">
        <v>0</v>
      </c>
      <c r="E32" s="98">
        <v>0</v>
      </c>
      <c r="F32" s="98">
        <v>0</v>
      </c>
      <c r="G32" s="98">
        <v>378.9792320000015</v>
      </c>
      <c r="H32" s="98">
        <v>408.04608000000007</v>
      </c>
      <c r="I32" s="98">
        <v>0</v>
      </c>
      <c r="J32" s="98">
        <v>0</v>
      </c>
      <c r="K32" s="98">
        <v>0</v>
      </c>
      <c r="L32" s="98">
        <v>0</v>
      </c>
      <c r="M32" s="98">
        <v>0</v>
      </c>
      <c r="N32" s="98">
        <v>378.9792320000015</v>
      </c>
      <c r="O32" s="98">
        <v>378.9792320000015</v>
      </c>
      <c r="P32" s="98">
        <v>1544.9837760000046</v>
      </c>
      <c r="Q32" s="98" t="s">
        <v>2</v>
      </c>
    </row>
    <row r="34" spans="1:17">
      <c r="B34" s="98" t="s">
        <v>160</v>
      </c>
      <c r="C34" s="98" t="s">
        <v>0</v>
      </c>
      <c r="D34" s="98">
        <v>11160</v>
      </c>
      <c r="E34" s="98">
        <v>11630.390589999999</v>
      </c>
      <c r="F34" s="98">
        <v>13640</v>
      </c>
      <c r="G34" s="98">
        <v>16120</v>
      </c>
      <c r="H34" s="98">
        <v>18600</v>
      </c>
      <c r="I34" s="98">
        <v>27280</v>
      </c>
      <c r="J34" s="98">
        <v>27280</v>
      </c>
      <c r="K34" s="98">
        <v>32240</v>
      </c>
      <c r="L34" s="98">
        <v>32240</v>
      </c>
      <c r="M34" s="98">
        <v>29760</v>
      </c>
      <c r="N34" s="98">
        <v>16120</v>
      </c>
      <c r="O34" s="98">
        <v>14880</v>
      </c>
      <c r="P34" s="98">
        <v>250950.39059</v>
      </c>
      <c r="Q34" s="98" t="s">
        <v>0</v>
      </c>
    </row>
    <row r="35" spans="1:17">
      <c r="B35" s="98" t="s">
        <v>161</v>
      </c>
      <c r="C35" s="98" t="s">
        <v>1</v>
      </c>
      <c r="D35" s="98">
        <v>12400</v>
      </c>
      <c r="E35" s="98">
        <v>12400</v>
      </c>
      <c r="F35" s="98">
        <v>14880</v>
      </c>
      <c r="G35" s="98">
        <v>16119.999999999998</v>
      </c>
      <c r="H35" s="98">
        <v>19840</v>
      </c>
      <c r="I35" s="98">
        <v>28520</v>
      </c>
      <c r="J35" s="98">
        <v>28520</v>
      </c>
      <c r="K35" s="98">
        <v>33480</v>
      </c>
      <c r="L35" s="98">
        <v>33480</v>
      </c>
      <c r="M35" s="98">
        <v>31000.000000000004</v>
      </c>
      <c r="N35" s="98">
        <v>16119.999999999998</v>
      </c>
      <c r="O35" s="98">
        <v>16119.999999999998</v>
      </c>
      <c r="P35" s="98">
        <v>262880</v>
      </c>
      <c r="Q35" s="98" t="s">
        <v>1</v>
      </c>
    </row>
    <row r="36" spans="1:17">
      <c r="C36" s="98" t="s">
        <v>2</v>
      </c>
      <c r="D36" s="98">
        <v>12400</v>
      </c>
      <c r="E36" s="98">
        <v>12400</v>
      </c>
      <c r="F36" s="98">
        <v>14880</v>
      </c>
      <c r="G36" s="98">
        <v>19840</v>
      </c>
      <c r="H36" s="98">
        <v>24800</v>
      </c>
      <c r="I36" s="98">
        <v>29760</v>
      </c>
      <c r="J36" s="98">
        <v>29760</v>
      </c>
      <c r="K36" s="98">
        <v>34720</v>
      </c>
      <c r="L36" s="98">
        <v>34720</v>
      </c>
      <c r="M36" s="98">
        <v>32240</v>
      </c>
      <c r="N36" s="98">
        <v>19840</v>
      </c>
      <c r="O36" s="98">
        <v>19840</v>
      </c>
      <c r="P36" s="98">
        <v>285200</v>
      </c>
      <c r="Q36" s="98" t="s">
        <v>2</v>
      </c>
    </row>
    <row r="37" spans="1:17">
      <c r="P37" s="98">
        <v>799030.39058999997</v>
      </c>
      <c r="Q37" s="98" t="s">
        <v>150</v>
      </c>
    </row>
    <row r="41" spans="1:17">
      <c r="A41" s="98">
        <v>2</v>
      </c>
      <c r="B41" s="98" t="s">
        <v>162</v>
      </c>
    </row>
    <row r="44" spans="1:17">
      <c r="E44" s="98" t="s">
        <v>163</v>
      </c>
    </row>
    <row r="45" spans="1:17">
      <c r="B45" s="98" t="s">
        <v>164</v>
      </c>
      <c r="C45" s="98" t="s">
        <v>165</v>
      </c>
      <c r="D45" s="98" t="s">
        <v>166</v>
      </c>
      <c r="E45" s="98" t="s">
        <v>167</v>
      </c>
      <c r="F45" s="98" t="s">
        <v>168</v>
      </c>
      <c r="G45" s="98" t="s">
        <v>169</v>
      </c>
      <c r="H45" s="98" t="s">
        <v>150</v>
      </c>
      <c r="I45" s="98" t="s">
        <v>170</v>
      </c>
    </row>
    <row r="46" spans="1:17">
      <c r="B46" s="98" t="s">
        <v>151</v>
      </c>
      <c r="C46" s="98" t="s">
        <v>171</v>
      </c>
      <c r="D46" s="98" t="s">
        <v>172</v>
      </c>
      <c r="E46" s="98">
        <v>0.56000000000000005</v>
      </c>
      <c r="F46" s="98">
        <v>0.3</v>
      </c>
      <c r="G46" s="98">
        <v>0.3</v>
      </c>
      <c r="H46" s="98">
        <v>1.1600000000000001</v>
      </c>
      <c r="I46" s="98">
        <v>4</v>
      </c>
    </row>
    <row r="47" spans="1:17">
      <c r="B47" s="98" t="s">
        <v>152</v>
      </c>
      <c r="C47" s="98" t="s">
        <v>171</v>
      </c>
      <c r="D47" s="98" t="s">
        <v>173</v>
      </c>
      <c r="E47" s="98">
        <v>0.5</v>
      </c>
      <c r="F47" s="98">
        <v>0.3</v>
      </c>
      <c r="G47" s="98">
        <v>0.3</v>
      </c>
      <c r="H47" s="98">
        <v>1.1000000000000001</v>
      </c>
      <c r="I47" s="98">
        <v>4</v>
      </c>
    </row>
    <row r="48" spans="1:17">
      <c r="B48" s="98" t="s">
        <v>153</v>
      </c>
      <c r="C48" s="98" t="s">
        <v>171</v>
      </c>
      <c r="D48" s="98" t="s">
        <v>174</v>
      </c>
      <c r="E48" s="98">
        <v>0.5</v>
      </c>
      <c r="F48" s="98">
        <v>0.3</v>
      </c>
      <c r="G48" s="98">
        <v>0.3</v>
      </c>
      <c r="H48" s="98">
        <v>1.1000000000000001</v>
      </c>
      <c r="I48" s="98">
        <v>3.5</v>
      </c>
    </row>
    <row r="49" spans="1:9">
      <c r="B49" s="98" t="s">
        <v>154</v>
      </c>
      <c r="C49" s="98" t="s">
        <v>171</v>
      </c>
      <c r="D49" s="98" t="s">
        <v>175</v>
      </c>
      <c r="E49" s="98">
        <v>0.5</v>
      </c>
      <c r="F49" s="98">
        <v>0.3</v>
      </c>
      <c r="G49" s="98">
        <v>0.3</v>
      </c>
      <c r="H49" s="98">
        <v>1.1000000000000001</v>
      </c>
      <c r="I49" s="98">
        <v>3.5</v>
      </c>
    </row>
    <row r="50" spans="1:9">
      <c r="B50" s="98" t="s">
        <v>155</v>
      </c>
      <c r="C50" s="98" t="s">
        <v>171</v>
      </c>
      <c r="D50" s="98" t="s">
        <v>176</v>
      </c>
      <c r="E50" s="98">
        <v>0.5</v>
      </c>
      <c r="F50" s="98">
        <v>0.3</v>
      </c>
      <c r="G50" s="98">
        <v>0.3</v>
      </c>
      <c r="H50" s="98">
        <v>1.1000000000000001</v>
      </c>
      <c r="I50" s="98">
        <v>3.5</v>
      </c>
    </row>
    <row r="51" spans="1:9">
      <c r="B51" s="98" t="s">
        <v>156</v>
      </c>
      <c r="C51" s="98" t="s">
        <v>171</v>
      </c>
      <c r="D51" s="98" t="s">
        <v>177</v>
      </c>
      <c r="E51" s="98">
        <v>0.5</v>
      </c>
      <c r="F51" s="98">
        <v>0.3</v>
      </c>
      <c r="G51" s="98">
        <v>0.3</v>
      </c>
      <c r="H51" s="98">
        <v>1.1000000000000001</v>
      </c>
      <c r="I51" s="98">
        <v>3.5</v>
      </c>
    </row>
    <row r="52" spans="1:9">
      <c r="B52" s="98" t="s">
        <v>157</v>
      </c>
      <c r="C52" s="98" t="s">
        <v>178</v>
      </c>
      <c r="D52" s="98" t="s">
        <v>172</v>
      </c>
      <c r="E52" s="98">
        <v>0.56000000000000005</v>
      </c>
      <c r="F52" s="98">
        <v>0.24</v>
      </c>
      <c r="G52" s="98">
        <v>0.26</v>
      </c>
      <c r="H52" s="98">
        <v>1.06</v>
      </c>
      <c r="I52" s="98">
        <v>1.25</v>
      </c>
    </row>
    <row r="53" spans="1:9">
      <c r="B53" s="98" t="s">
        <v>158</v>
      </c>
      <c r="C53" s="98" t="s">
        <v>178</v>
      </c>
      <c r="D53" s="98" t="s">
        <v>173</v>
      </c>
      <c r="E53" s="98">
        <v>0.56000000000000005</v>
      </c>
      <c r="F53" s="98">
        <v>0.24</v>
      </c>
      <c r="G53" s="98">
        <v>0.26</v>
      </c>
      <c r="H53" s="98">
        <v>1.06</v>
      </c>
      <c r="I53" s="98">
        <v>1.28</v>
      </c>
    </row>
    <row r="54" spans="1:9">
      <c r="B54" s="98" t="s">
        <v>159</v>
      </c>
      <c r="C54" s="98" t="s">
        <v>171</v>
      </c>
      <c r="D54" s="98" t="s">
        <v>179</v>
      </c>
      <c r="E54" s="98">
        <v>0.52249999999999996</v>
      </c>
      <c r="F54" s="98">
        <v>0.28500000000000003</v>
      </c>
      <c r="G54" s="98">
        <v>0.29000000000000004</v>
      </c>
      <c r="H54" s="98">
        <v>1.0975000000000001</v>
      </c>
      <c r="I54" s="98">
        <v>1.25</v>
      </c>
    </row>
    <row r="57" spans="1:9">
      <c r="A57" s="98">
        <v>3</v>
      </c>
      <c r="B57" s="98" t="s">
        <v>180</v>
      </c>
    </row>
    <row r="60" spans="1:9">
      <c r="C60" s="98" t="s">
        <v>0</v>
      </c>
      <c r="D60" s="98" t="s">
        <v>1</v>
      </c>
      <c r="E60" s="98" t="s">
        <v>2</v>
      </c>
    </row>
    <row r="61" spans="1:9">
      <c r="B61" s="98" t="s">
        <v>181</v>
      </c>
      <c r="C61" s="98">
        <v>130000</v>
      </c>
      <c r="D61" s="98">
        <v>144300</v>
      </c>
      <c r="E61" s="98">
        <v>173160</v>
      </c>
    </row>
    <row r="62" spans="1:9">
      <c r="B62" s="98" t="s">
        <v>182</v>
      </c>
      <c r="C62" s="98">
        <v>33500</v>
      </c>
      <c r="D62" s="98">
        <v>43110</v>
      </c>
      <c r="E62" s="98">
        <v>47457</v>
      </c>
    </row>
    <row r="63" spans="1:9">
      <c r="B63" s="98" t="s">
        <v>183</v>
      </c>
      <c r="C63" s="98">
        <v>38000</v>
      </c>
      <c r="D63" s="98">
        <v>42180</v>
      </c>
      <c r="E63" s="98">
        <v>50616</v>
      </c>
    </row>
    <row r="64" spans="1:9">
      <c r="B64" s="98" t="s">
        <v>184</v>
      </c>
      <c r="C64" s="98">
        <v>5000</v>
      </c>
      <c r="D64" s="98">
        <v>5550</v>
      </c>
      <c r="E64" s="98">
        <v>6660</v>
      </c>
    </row>
    <row r="65" spans="1:16">
      <c r="B65" s="98" t="s">
        <v>185</v>
      </c>
      <c r="C65" s="98">
        <v>19239.12</v>
      </c>
      <c r="D65" s="98">
        <v>19239.12</v>
      </c>
      <c r="E65" s="98">
        <v>19239.12</v>
      </c>
    </row>
    <row r="67" spans="1:16">
      <c r="B67" s="98" t="s">
        <v>186</v>
      </c>
      <c r="C67" s="98">
        <v>225739.12</v>
      </c>
      <c r="D67" s="98">
        <v>254379.12</v>
      </c>
      <c r="E67" s="98">
        <v>297132.12</v>
      </c>
    </row>
    <row r="69" spans="1:16">
      <c r="B69" s="98" t="s">
        <v>187</v>
      </c>
      <c r="C69" s="98">
        <v>50000</v>
      </c>
    </row>
    <row r="70" spans="1:16">
      <c r="B70" s="98" t="s">
        <v>188</v>
      </c>
      <c r="C70" s="98">
        <v>120000</v>
      </c>
    </row>
    <row r="72" spans="1:16">
      <c r="A72" s="98">
        <v>4</v>
      </c>
      <c r="B72" s="98" t="s">
        <v>189</v>
      </c>
    </row>
    <row r="73" spans="1:16">
      <c r="B73" s="98" t="s">
        <v>190</v>
      </c>
      <c r="D73" s="98" t="s">
        <v>0</v>
      </c>
      <c r="E73" s="98" t="s">
        <v>0</v>
      </c>
      <c r="F73" s="98" t="s">
        <v>0</v>
      </c>
      <c r="G73" s="98" t="s">
        <v>0</v>
      </c>
      <c r="H73" s="98" t="s">
        <v>0</v>
      </c>
      <c r="I73" s="98" t="s">
        <v>0</v>
      </c>
      <c r="J73" s="98" t="s">
        <v>0</v>
      </c>
      <c r="K73" s="98" t="s">
        <v>0</v>
      </c>
      <c r="L73" s="98" t="s">
        <v>0</v>
      </c>
      <c r="M73" s="98" t="s">
        <v>0</v>
      </c>
      <c r="N73" s="98" t="s">
        <v>0</v>
      </c>
      <c r="O73" s="98" t="s">
        <v>0</v>
      </c>
      <c r="P73" s="98" t="s">
        <v>191</v>
      </c>
    </row>
    <row r="74" spans="1:16">
      <c r="B74" s="98" t="s">
        <v>192</v>
      </c>
      <c r="D74" s="98" t="s">
        <v>138</v>
      </c>
      <c r="E74" s="98" t="s">
        <v>139</v>
      </c>
      <c r="F74" s="98" t="s">
        <v>140</v>
      </c>
      <c r="G74" s="98" t="s">
        <v>141</v>
      </c>
      <c r="H74" s="98" t="s">
        <v>142</v>
      </c>
      <c r="I74" s="98" t="s">
        <v>143</v>
      </c>
      <c r="J74" s="98" t="s">
        <v>144</v>
      </c>
      <c r="K74" s="98" t="s">
        <v>145</v>
      </c>
      <c r="L74" s="98" t="s">
        <v>146</v>
      </c>
      <c r="M74" s="98" t="s">
        <v>147</v>
      </c>
      <c r="N74" s="98" t="s">
        <v>148</v>
      </c>
      <c r="O74" s="98" t="s">
        <v>149</v>
      </c>
      <c r="P74" s="98" t="s">
        <v>193</v>
      </c>
    </row>
    <row r="75" spans="1:16">
      <c r="B75" s="98" t="s">
        <v>151</v>
      </c>
      <c r="C75" s="98" t="s">
        <v>194</v>
      </c>
      <c r="D75" s="98">
        <v>4</v>
      </c>
    </row>
    <row r="76" spans="1:16">
      <c r="C76" s="98" t="s">
        <v>195</v>
      </c>
      <c r="D76" s="98">
        <v>1.1599999999999999</v>
      </c>
    </row>
    <row r="77" spans="1:16">
      <c r="C77" s="98" t="s">
        <v>196</v>
      </c>
      <c r="D77" s="98">
        <v>1206.6367713004486</v>
      </c>
      <c r="E77" s="98">
        <v>1206.6367713004486</v>
      </c>
      <c r="F77" s="98">
        <v>1310.0292112950344</v>
      </c>
      <c r="G77" s="98">
        <v>1389.3975903614457</v>
      </c>
      <c r="H77" s="98">
        <v>1588.6310220000003</v>
      </c>
      <c r="I77" s="98">
        <v>1852.530120481928</v>
      </c>
      <c r="J77" s="98">
        <v>1852.530120481928</v>
      </c>
      <c r="K77" s="98">
        <v>1985.7887775000004</v>
      </c>
      <c r="L77" s="98">
        <v>1985.7887775000004</v>
      </c>
      <c r="M77" s="98">
        <v>1927.3537604456828</v>
      </c>
      <c r="N77" s="98">
        <v>1389.3975903614457</v>
      </c>
      <c r="O77" s="98">
        <v>1389.3975903614457</v>
      </c>
      <c r="P77" s="98">
        <v>19084.118103389806</v>
      </c>
    </row>
    <row r="78" spans="1:16">
      <c r="C78" s="98" t="s">
        <v>23</v>
      </c>
      <c r="D78" s="98">
        <v>4826.5470852017943</v>
      </c>
      <c r="E78" s="98">
        <v>4826.5470852017943</v>
      </c>
      <c r="F78" s="98">
        <v>5240.1168451801377</v>
      </c>
      <c r="G78" s="98">
        <v>5557.5903614457829</v>
      </c>
      <c r="H78" s="98">
        <v>6354.524088000001</v>
      </c>
      <c r="I78" s="98">
        <v>7410.1204819277118</v>
      </c>
      <c r="J78" s="98">
        <v>7410.1204819277118</v>
      </c>
      <c r="K78" s="98">
        <v>7943.1551100000015</v>
      </c>
      <c r="L78" s="98">
        <v>7943.1551100000015</v>
      </c>
      <c r="M78" s="98">
        <v>7709.4150417827314</v>
      </c>
      <c r="N78" s="98">
        <v>5557.5903614457829</v>
      </c>
      <c r="O78" s="98">
        <v>5557.5903614457829</v>
      </c>
      <c r="P78" s="98">
        <v>76336.472413559226</v>
      </c>
    </row>
    <row r="79" spans="1:16">
      <c r="C79" s="98" t="s">
        <v>197</v>
      </c>
      <c r="D79" s="98">
        <v>1399.6986547085203</v>
      </c>
      <c r="E79" s="98">
        <v>1399.6986547085203</v>
      </c>
      <c r="F79" s="98">
        <v>1519.6338851022399</v>
      </c>
      <c r="G79" s="98">
        <v>1611.7012048192769</v>
      </c>
      <c r="H79" s="98">
        <v>1842.8119855200002</v>
      </c>
      <c r="I79" s="98">
        <v>2148.9349397590363</v>
      </c>
      <c r="J79" s="98">
        <v>2148.9349397590363</v>
      </c>
      <c r="K79" s="98">
        <v>2303.5149819000003</v>
      </c>
      <c r="L79" s="98">
        <v>2303.5149819000003</v>
      </c>
      <c r="M79" s="98">
        <v>2235.7303621169917</v>
      </c>
      <c r="N79" s="98">
        <v>1611.7012048192769</v>
      </c>
      <c r="O79" s="98">
        <v>1611.7012048192769</v>
      </c>
      <c r="P79" s="98">
        <v>22137.576999932178</v>
      </c>
    </row>
    <row r="80" spans="1:16">
      <c r="C80" s="98" t="s">
        <v>198</v>
      </c>
      <c r="D80" s="98">
        <v>3426.848430493274</v>
      </c>
      <c r="E80" s="98">
        <v>3426.848430493274</v>
      </c>
      <c r="F80" s="98">
        <v>3720.4829600778976</v>
      </c>
      <c r="G80" s="98">
        <v>3945.8891566265061</v>
      </c>
      <c r="H80" s="98">
        <v>4511.7121024800008</v>
      </c>
      <c r="I80" s="98">
        <v>5261.185542168676</v>
      </c>
      <c r="J80" s="98">
        <v>5261.185542168676</v>
      </c>
      <c r="K80" s="98">
        <v>5639.6401281000017</v>
      </c>
      <c r="L80" s="98">
        <v>5639.6401281000017</v>
      </c>
      <c r="M80" s="98">
        <v>5473.6846796657392</v>
      </c>
      <c r="N80" s="98">
        <v>3945.8891566265061</v>
      </c>
      <c r="O80" s="98">
        <v>3945.8891566265061</v>
      </c>
      <c r="P80" s="98">
        <v>54198.895413627062</v>
      </c>
    </row>
    <row r="81" spans="2:16">
      <c r="B81" s="98" t="s">
        <v>152</v>
      </c>
      <c r="C81" s="98" t="s">
        <v>194</v>
      </c>
      <c r="D81" s="98">
        <v>4</v>
      </c>
    </row>
    <row r="82" spans="2:16">
      <c r="C82" s="98" t="s">
        <v>195</v>
      </c>
      <c r="D82" s="98">
        <v>1.1000000000000001</v>
      </c>
    </row>
    <row r="83" spans="2:16">
      <c r="C83" s="98" t="s">
        <v>196</v>
      </c>
      <c r="D83" s="98">
        <v>1220.3174603174602</v>
      </c>
      <c r="E83" s="98">
        <v>1220.3174603174602</v>
      </c>
      <c r="F83" s="98">
        <v>1261.7067833698034</v>
      </c>
      <c r="G83" s="98">
        <v>1471.9912472647702</v>
      </c>
      <c r="H83" s="98">
        <v>1682.2757111597373</v>
      </c>
      <c r="I83" s="98">
        <v>2102.8446389496717</v>
      </c>
      <c r="J83" s="98">
        <v>2102.8446389496717</v>
      </c>
      <c r="K83" s="98">
        <v>2346.2868769074262</v>
      </c>
      <c r="L83" s="98">
        <v>2346.2868769074262</v>
      </c>
      <c r="M83" s="98">
        <v>2313.129102844639</v>
      </c>
      <c r="N83" s="98">
        <v>1471.9912472647702</v>
      </c>
      <c r="O83" s="98">
        <v>1431.5304131938292</v>
      </c>
      <c r="P83" s="98">
        <v>20971.522457446667</v>
      </c>
    </row>
    <row r="84" spans="2:16">
      <c r="C84" s="98" t="s">
        <v>23</v>
      </c>
      <c r="D84" s="98">
        <v>4881.269841269841</v>
      </c>
      <c r="E84" s="98">
        <v>4881.269841269841</v>
      </c>
      <c r="F84" s="98">
        <v>5046.8271334792134</v>
      </c>
      <c r="G84" s="98">
        <v>5887.9649890590808</v>
      </c>
      <c r="H84" s="98">
        <v>6729.1028446389491</v>
      </c>
      <c r="I84" s="98">
        <v>8411.3785557986866</v>
      </c>
      <c r="J84" s="98">
        <v>8411.3785557986866</v>
      </c>
      <c r="K84" s="98">
        <v>9385.1475076297047</v>
      </c>
      <c r="L84" s="98">
        <v>9385.1475076297047</v>
      </c>
      <c r="M84" s="98">
        <v>9252.5164113785559</v>
      </c>
      <c r="N84" s="98">
        <v>5887.9649890590808</v>
      </c>
      <c r="O84" s="98">
        <v>5726.1216527753168</v>
      </c>
      <c r="P84" s="98">
        <v>83886.089829786666</v>
      </c>
    </row>
    <row r="85" spans="2:16">
      <c r="C85" s="98" t="s">
        <v>197</v>
      </c>
      <c r="D85" s="98">
        <v>1415.5682539682539</v>
      </c>
      <c r="E85" s="98">
        <v>1415.5682539682539</v>
      </c>
      <c r="F85" s="98">
        <v>1387.8774617067838</v>
      </c>
      <c r="G85" s="98">
        <v>1619.1903719912473</v>
      </c>
      <c r="H85" s="98">
        <v>1850.5032822757112</v>
      </c>
      <c r="I85" s="98">
        <v>2313.129102844639</v>
      </c>
      <c r="J85" s="98">
        <v>2313.129102844639</v>
      </c>
      <c r="K85" s="98">
        <v>2580.9155645981691</v>
      </c>
      <c r="L85" s="98">
        <v>2580.9155645981691</v>
      </c>
      <c r="M85" s="98">
        <v>2544.4420131291031</v>
      </c>
      <c r="N85" s="98">
        <v>1619.1903719912473</v>
      </c>
      <c r="O85" s="98">
        <v>1574.6834545132122</v>
      </c>
      <c r="P85" s="98">
        <v>23215.112798429433</v>
      </c>
    </row>
    <row r="86" spans="2:16">
      <c r="C86" s="98" t="s">
        <v>198</v>
      </c>
      <c r="D86" s="98">
        <v>3465.7015873015871</v>
      </c>
      <c r="E86" s="98">
        <v>3465.7015873015871</v>
      </c>
      <c r="F86" s="98">
        <v>3658.9496717724296</v>
      </c>
      <c r="G86" s="98">
        <v>4268.7746170678338</v>
      </c>
      <c r="H86" s="98">
        <v>4878.599562363238</v>
      </c>
      <c r="I86" s="98">
        <v>6098.2494529540472</v>
      </c>
      <c r="J86" s="98">
        <v>6098.2494529540472</v>
      </c>
      <c r="K86" s="98">
        <v>6804.2319430315356</v>
      </c>
      <c r="L86" s="98">
        <v>6804.2319430315356</v>
      </c>
      <c r="M86" s="98">
        <v>6708.0743982494532</v>
      </c>
      <c r="N86" s="98">
        <v>4268.7746170678338</v>
      </c>
      <c r="O86" s="98">
        <v>4151.4381982621044</v>
      </c>
      <c r="P86" s="98">
        <v>60670.97703135723</v>
      </c>
    </row>
    <row r="87" spans="2:16">
      <c r="B87" s="98" t="s">
        <v>153</v>
      </c>
      <c r="C87" s="98" t="s">
        <v>194</v>
      </c>
      <c r="D87" s="98">
        <v>3.5</v>
      </c>
    </row>
    <row r="88" spans="2:16">
      <c r="C88" s="98" t="s">
        <v>195</v>
      </c>
      <c r="D88" s="98">
        <v>1.1000000000000001</v>
      </c>
    </row>
    <row r="89" spans="2:16">
      <c r="C89" s="98" t="s">
        <v>196</v>
      </c>
      <c r="D89" s="98">
        <v>0</v>
      </c>
      <c r="E89" s="98">
        <v>0</v>
      </c>
      <c r="F89" s="98">
        <v>0</v>
      </c>
      <c r="G89" s="98">
        <v>0</v>
      </c>
      <c r="H89" s="98">
        <v>0</v>
      </c>
      <c r="I89" s="98">
        <v>1208.7409950000003</v>
      </c>
      <c r="J89" s="98">
        <v>1208.7409950000003</v>
      </c>
      <c r="K89" s="98">
        <v>1240</v>
      </c>
      <c r="L89" s="98">
        <v>1240</v>
      </c>
      <c r="M89" s="98">
        <v>1240</v>
      </c>
      <c r="N89" s="98">
        <v>0</v>
      </c>
      <c r="O89" s="98">
        <v>0</v>
      </c>
      <c r="P89" s="98">
        <v>6137.4819900000002</v>
      </c>
    </row>
    <row r="90" spans="2:16">
      <c r="C90" s="98" t="s">
        <v>23</v>
      </c>
      <c r="D90" s="98">
        <v>0</v>
      </c>
      <c r="E90" s="98">
        <v>0</v>
      </c>
      <c r="F90" s="98">
        <v>0</v>
      </c>
      <c r="G90" s="98">
        <v>0</v>
      </c>
      <c r="H90" s="98">
        <v>0</v>
      </c>
      <c r="I90" s="98">
        <v>4230.5934825000013</v>
      </c>
      <c r="J90" s="98">
        <v>4230.5934825000013</v>
      </c>
      <c r="K90" s="98">
        <v>4340</v>
      </c>
      <c r="L90" s="98">
        <v>4340</v>
      </c>
      <c r="M90" s="98">
        <v>4340</v>
      </c>
      <c r="N90" s="98">
        <v>0</v>
      </c>
      <c r="O90" s="98">
        <v>0</v>
      </c>
      <c r="P90" s="98">
        <v>21481.186965000001</v>
      </c>
    </row>
    <row r="91" spans="2:16">
      <c r="C91" s="98" t="s">
        <v>197</v>
      </c>
      <c r="D91" s="98">
        <v>0</v>
      </c>
      <c r="E91" s="98">
        <v>0</v>
      </c>
      <c r="F91" s="98">
        <v>0</v>
      </c>
      <c r="G91" s="98">
        <v>0</v>
      </c>
      <c r="H91" s="98">
        <v>0</v>
      </c>
      <c r="I91" s="98">
        <v>1329.6150945000004</v>
      </c>
      <c r="J91" s="98">
        <v>1329.6150945000004</v>
      </c>
      <c r="K91" s="98">
        <v>1364</v>
      </c>
      <c r="L91" s="98">
        <v>1364</v>
      </c>
      <c r="M91" s="98">
        <v>1364</v>
      </c>
      <c r="N91" s="98">
        <v>0</v>
      </c>
      <c r="O91" s="98">
        <v>0</v>
      </c>
      <c r="P91" s="98">
        <v>6751.2301890000008</v>
      </c>
    </row>
    <row r="92" spans="2:16">
      <c r="C92" s="98" t="s">
        <v>198</v>
      </c>
      <c r="D92" s="98">
        <v>0</v>
      </c>
      <c r="E92" s="98">
        <v>0</v>
      </c>
      <c r="F92" s="98">
        <v>0</v>
      </c>
      <c r="G92" s="98">
        <v>0</v>
      </c>
      <c r="H92" s="98">
        <v>0</v>
      </c>
      <c r="I92" s="98">
        <v>2900.9783880000009</v>
      </c>
      <c r="J92" s="98">
        <v>2900.9783880000009</v>
      </c>
      <c r="K92" s="98">
        <v>2976</v>
      </c>
      <c r="L92" s="98">
        <v>2976</v>
      </c>
      <c r="M92" s="98">
        <v>2976</v>
      </c>
      <c r="N92" s="98">
        <v>0</v>
      </c>
      <c r="O92" s="98">
        <v>0</v>
      </c>
      <c r="P92" s="98">
        <v>14729.956776000003</v>
      </c>
    </row>
    <row r="93" spans="2:16">
      <c r="B93" s="98" t="s">
        <v>154</v>
      </c>
      <c r="C93" s="98" t="s">
        <v>194</v>
      </c>
      <c r="D93" s="98">
        <v>3.5</v>
      </c>
    </row>
    <row r="94" spans="2:16">
      <c r="C94" s="98" t="s">
        <v>195</v>
      </c>
      <c r="D94" s="98">
        <v>1.1000000000000001</v>
      </c>
    </row>
    <row r="95" spans="2:16">
      <c r="C95" s="98" t="s">
        <v>196</v>
      </c>
      <c r="D95" s="98">
        <v>0</v>
      </c>
      <c r="E95" s="98">
        <v>0</v>
      </c>
      <c r="F95" s="98">
        <v>0</v>
      </c>
      <c r="G95" s="98">
        <v>0</v>
      </c>
      <c r="H95" s="98">
        <v>0</v>
      </c>
      <c r="I95" s="98">
        <v>1036.0637100000001</v>
      </c>
      <c r="J95" s="98">
        <v>1036.0637100000001</v>
      </c>
      <c r="K95" s="98">
        <v>1240</v>
      </c>
      <c r="L95" s="98">
        <v>1240</v>
      </c>
      <c r="M95" s="98">
        <v>1139.6700810000002</v>
      </c>
      <c r="N95" s="98">
        <v>0</v>
      </c>
      <c r="O95" s="98">
        <v>0</v>
      </c>
      <c r="P95" s="98">
        <v>5691.7975010000009</v>
      </c>
    </row>
    <row r="96" spans="2:16">
      <c r="C96" s="98" t="s">
        <v>23</v>
      </c>
      <c r="D96" s="98">
        <v>0</v>
      </c>
      <c r="E96" s="98">
        <v>0</v>
      </c>
      <c r="F96" s="98">
        <v>0</v>
      </c>
      <c r="G96" s="98">
        <v>0</v>
      </c>
      <c r="H96" s="98">
        <v>0</v>
      </c>
      <c r="I96" s="98">
        <v>3626.2229850000003</v>
      </c>
      <c r="J96" s="98">
        <v>3626.2229850000003</v>
      </c>
      <c r="K96" s="98">
        <v>4340</v>
      </c>
      <c r="L96" s="98">
        <v>4340</v>
      </c>
      <c r="M96" s="98">
        <v>3988.8452835000007</v>
      </c>
      <c r="N96" s="98">
        <v>0</v>
      </c>
      <c r="O96" s="98">
        <v>0</v>
      </c>
      <c r="P96" s="98">
        <v>19921.2912535</v>
      </c>
    </row>
    <row r="97" spans="2:16">
      <c r="C97" s="98" t="s">
        <v>197</v>
      </c>
      <c r="D97" s="98">
        <v>0</v>
      </c>
      <c r="E97" s="98">
        <v>0</v>
      </c>
      <c r="F97" s="98">
        <v>0</v>
      </c>
      <c r="G97" s="98">
        <v>0</v>
      </c>
      <c r="H97" s="98">
        <v>0</v>
      </c>
      <c r="I97" s="98">
        <v>1139.6700810000002</v>
      </c>
      <c r="J97" s="98">
        <v>1139.6700810000002</v>
      </c>
      <c r="K97" s="98">
        <v>1364</v>
      </c>
      <c r="L97" s="98">
        <v>1364</v>
      </c>
      <c r="M97" s="98">
        <v>1253.6370891000004</v>
      </c>
      <c r="N97" s="98">
        <v>0</v>
      </c>
      <c r="O97" s="98">
        <v>0</v>
      </c>
      <c r="P97" s="98">
        <v>6260.977251100001</v>
      </c>
    </row>
    <row r="98" spans="2:16">
      <c r="C98" s="98" t="s">
        <v>198</v>
      </c>
      <c r="D98" s="98">
        <v>0</v>
      </c>
      <c r="E98" s="98">
        <v>0</v>
      </c>
      <c r="F98" s="98">
        <v>0</v>
      </c>
      <c r="G98" s="98">
        <v>0</v>
      </c>
      <c r="H98" s="98">
        <v>0</v>
      </c>
      <c r="I98" s="98">
        <v>2486.5529040000001</v>
      </c>
      <c r="J98" s="98">
        <v>2486.5529040000001</v>
      </c>
      <c r="K98" s="98">
        <v>2976</v>
      </c>
      <c r="L98" s="98">
        <v>2976</v>
      </c>
      <c r="M98" s="98">
        <v>2735.2081944000001</v>
      </c>
      <c r="N98" s="98">
        <v>0</v>
      </c>
      <c r="O98" s="98">
        <v>0</v>
      </c>
      <c r="P98" s="98">
        <v>13660.3140024</v>
      </c>
    </row>
    <row r="99" spans="2:16">
      <c r="B99" s="98" t="s">
        <v>155</v>
      </c>
      <c r="C99" s="98" t="s">
        <v>194</v>
      </c>
      <c r="D99" s="98">
        <v>3.5</v>
      </c>
    </row>
    <row r="100" spans="2:16">
      <c r="C100" s="98" t="s">
        <v>195</v>
      </c>
      <c r="D100" s="98">
        <v>1.1000000000000001</v>
      </c>
    </row>
    <row r="101" spans="2:16">
      <c r="C101" s="98" t="s">
        <v>196</v>
      </c>
      <c r="D101" s="98">
        <v>0</v>
      </c>
      <c r="E101" s="98">
        <v>0</v>
      </c>
      <c r="F101" s="98">
        <v>0</v>
      </c>
      <c r="G101" s="98">
        <v>0</v>
      </c>
      <c r="H101" s="98">
        <v>0</v>
      </c>
      <c r="I101" s="98">
        <v>1036.0637100000001</v>
      </c>
      <c r="J101" s="98">
        <v>1036.0637100000001</v>
      </c>
      <c r="K101" s="98">
        <v>1240</v>
      </c>
      <c r="L101" s="98">
        <v>1240</v>
      </c>
      <c r="M101" s="98">
        <v>1139.6700810000002</v>
      </c>
      <c r="N101" s="98">
        <v>0</v>
      </c>
      <c r="O101" s="98">
        <v>0</v>
      </c>
      <c r="P101" s="98">
        <v>5691.7975010000009</v>
      </c>
    </row>
    <row r="102" spans="2:16">
      <c r="C102" s="98" t="s">
        <v>23</v>
      </c>
      <c r="D102" s="98">
        <v>0</v>
      </c>
      <c r="E102" s="98">
        <v>0</v>
      </c>
      <c r="F102" s="98">
        <v>0</v>
      </c>
      <c r="G102" s="98">
        <v>0</v>
      </c>
      <c r="H102" s="98">
        <v>0</v>
      </c>
      <c r="I102" s="98">
        <v>3626.2229850000003</v>
      </c>
      <c r="J102" s="98">
        <v>3626.2229850000003</v>
      </c>
      <c r="K102" s="98">
        <v>4340</v>
      </c>
      <c r="L102" s="98">
        <v>4340</v>
      </c>
      <c r="M102" s="98">
        <v>3988.8452835000007</v>
      </c>
      <c r="N102" s="98">
        <v>0</v>
      </c>
      <c r="O102" s="98">
        <v>0</v>
      </c>
      <c r="P102" s="98">
        <v>19921.2912535</v>
      </c>
    </row>
    <row r="103" spans="2:16">
      <c r="C103" s="98" t="s">
        <v>197</v>
      </c>
      <c r="D103" s="98">
        <v>0</v>
      </c>
      <c r="E103" s="98">
        <v>0</v>
      </c>
      <c r="F103" s="98">
        <v>0</v>
      </c>
      <c r="G103" s="98">
        <v>0</v>
      </c>
      <c r="H103" s="98">
        <v>0</v>
      </c>
      <c r="I103" s="98">
        <v>1139.6700810000002</v>
      </c>
      <c r="J103" s="98">
        <v>1139.6700810000002</v>
      </c>
      <c r="K103" s="98">
        <v>1364</v>
      </c>
      <c r="L103" s="98">
        <v>1364</v>
      </c>
      <c r="M103" s="98">
        <v>1253.6370891000004</v>
      </c>
      <c r="N103" s="98">
        <v>0</v>
      </c>
      <c r="O103" s="98">
        <v>0</v>
      </c>
      <c r="P103" s="98">
        <v>6260.977251100001</v>
      </c>
    </row>
    <row r="104" spans="2:16">
      <c r="C104" s="98" t="s">
        <v>198</v>
      </c>
      <c r="D104" s="98">
        <v>0</v>
      </c>
      <c r="E104" s="98">
        <v>0</v>
      </c>
      <c r="F104" s="98">
        <v>0</v>
      </c>
      <c r="G104" s="98">
        <v>0</v>
      </c>
      <c r="H104" s="98">
        <v>0</v>
      </c>
      <c r="I104" s="98">
        <v>2486.5529040000001</v>
      </c>
      <c r="J104" s="98">
        <v>2486.5529040000001</v>
      </c>
      <c r="K104" s="98">
        <v>2976</v>
      </c>
      <c r="L104" s="98">
        <v>2976</v>
      </c>
      <c r="M104" s="98">
        <v>2735.2081944000001</v>
      </c>
      <c r="N104" s="98">
        <v>0</v>
      </c>
      <c r="O104" s="98">
        <v>0</v>
      </c>
      <c r="P104" s="98">
        <v>13660.3140024</v>
      </c>
    </row>
    <row r="105" spans="2:16">
      <c r="B105" s="98" t="s">
        <v>156</v>
      </c>
      <c r="C105" s="98" t="s">
        <v>194</v>
      </c>
      <c r="D105" s="98">
        <v>3.5</v>
      </c>
    </row>
    <row r="106" spans="2:16">
      <c r="C106" s="98" t="s">
        <v>195</v>
      </c>
      <c r="D106" s="98">
        <v>1.1000000000000001</v>
      </c>
    </row>
    <row r="107" spans="2:16">
      <c r="C107" s="98" t="s">
        <v>196</v>
      </c>
      <c r="D107" s="98">
        <v>0</v>
      </c>
      <c r="E107" s="98">
        <v>0</v>
      </c>
      <c r="F107" s="98">
        <v>0</v>
      </c>
      <c r="G107" s="98">
        <v>0</v>
      </c>
      <c r="H107" s="98">
        <v>0</v>
      </c>
      <c r="I107" s="98">
        <v>1208.7409950000003</v>
      </c>
      <c r="J107" s="98">
        <v>1208.7409950000003</v>
      </c>
      <c r="K107" s="98">
        <v>1240</v>
      </c>
      <c r="L107" s="98">
        <v>1240</v>
      </c>
      <c r="M107" s="98">
        <v>1240</v>
      </c>
      <c r="N107" s="98">
        <v>0</v>
      </c>
      <c r="O107" s="98">
        <v>0</v>
      </c>
      <c r="P107" s="98">
        <v>6137.4819900000002</v>
      </c>
    </row>
    <row r="108" spans="2:16">
      <c r="C108" s="98" t="s">
        <v>23</v>
      </c>
      <c r="D108" s="98">
        <v>0</v>
      </c>
      <c r="E108" s="98">
        <v>0</v>
      </c>
      <c r="F108" s="98">
        <v>0</v>
      </c>
      <c r="G108" s="98">
        <v>0</v>
      </c>
      <c r="H108" s="98">
        <v>0</v>
      </c>
      <c r="I108" s="98">
        <v>4230.5934825000013</v>
      </c>
      <c r="J108" s="98">
        <v>4230.5934825000013</v>
      </c>
      <c r="K108" s="98">
        <v>4340</v>
      </c>
      <c r="L108" s="98">
        <v>4340</v>
      </c>
      <c r="M108" s="98">
        <v>4340</v>
      </c>
      <c r="N108" s="98">
        <v>0</v>
      </c>
      <c r="O108" s="98">
        <v>0</v>
      </c>
      <c r="P108" s="98">
        <v>21481.186965000001</v>
      </c>
    </row>
    <row r="109" spans="2:16">
      <c r="C109" s="98" t="s">
        <v>197</v>
      </c>
      <c r="D109" s="98">
        <v>0</v>
      </c>
      <c r="E109" s="98">
        <v>0</v>
      </c>
      <c r="F109" s="98">
        <v>0</v>
      </c>
      <c r="G109" s="98">
        <v>0</v>
      </c>
      <c r="H109" s="98">
        <v>0</v>
      </c>
      <c r="I109" s="98">
        <v>1329.6150945000004</v>
      </c>
      <c r="J109" s="98">
        <v>1329.6150945000004</v>
      </c>
      <c r="K109" s="98">
        <v>1364</v>
      </c>
      <c r="L109" s="98">
        <v>1364</v>
      </c>
      <c r="M109" s="98">
        <v>1364</v>
      </c>
      <c r="N109" s="98">
        <v>0</v>
      </c>
      <c r="O109" s="98">
        <v>0</v>
      </c>
      <c r="P109" s="98">
        <v>6751.2301890000008</v>
      </c>
    </row>
    <row r="110" spans="2:16">
      <c r="C110" s="98" t="s">
        <v>198</v>
      </c>
      <c r="D110" s="98">
        <v>0</v>
      </c>
      <c r="E110" s="98">
        <v>0</v>
      </c>
      <c r="F110" s="98">
        <v>0</v>
      </c>
      <c r="G110" s="98">
        <v>0</v>
      </c>
      <c r="H110" s="98">
        <v>0</v>
      </c>
      <c r="I110" s="98">
        <v>2900.9783880000009</v>
      </c>
      <c r="J110" s="98">
        <v>2900.9783880000009</v>
      </c>
      <c r="K110" s="98">
        <v>2976</v>
      </c>
      <c r="L110" s="98">
        <v>2976</v>
      </c>
      <c r="M110" s="98">
        <v>2976</v>
      </c>
      <c r="N110" s="98">
        <v>0</v>
      </c>
      <c r="O110" s="98">
        <v>0</v>
      </c>
      <c r="P110" s="98">
        <v>14729.956776000003</v>
      </c>
    </row>
    <row r="111" spans="2:16">
      <c r="B111" s="98" t="s">
        <v>157</v>
      </c>
      <c r="C111" s="98" t="s">
        <v>194</v>
      </c>
      <c r="D111" s="98">
        <v>1.25</v>
      </c>
    </row>
    <row r="112" spans="2:16">
      <c r="C112" s="98" t="s">
        <v>195</v>
      </c>
      <c r="D112" s="98">
        <v>1.06</v>
      </c>
    </row>
    <row r="113" spans="2:16">
      <c r="C113" s="98" t="s">
        <v>196</v>
      </c>
      <c r="D113" s="98">
        <v>3753.3632286995517</v>
      </c>
      <c r="E113" s="98">
        <v>3753.3632286995517</v>
      </c>
      <c r="F113" s="98">
        <v>4889.9707887049653</v>
      </c>
      <c r="G113" s="98">
        <v>6050.6024096385545</v>
      </c>
      <c r="H113" s="98">
        <v>6918.2318700000005</v>
      </c>
      <c r="I113" s="98">
        <v>8067.469879518072</v>
      </c>
      <c r="J113" s="98">
        <v>8067.469879518072</v>
      </c>
      <c r="K113" s="98">
        <v>10377.347804999999</v>
      </c>
      <c r="L113" s="98">
        <v>10377.347804999999</v>
      </c>
      <c r="M113" s="98">
        <v>9232.6462395543167</v>
      </c>
      <c r="N113" s="98">
        <v>6050.6024096385545</v>
      </c>
      <c r="O113" s="98">
        <v>6050.6024096385545</v>
      </c>
      <c r="P113" s="98">
        <v>83589.017953610179</v>
      </c>
    </row>
    <row r="114" spans="2:16">
      <c r="C114" s="98" t="s">
        <v>23</v>
      </c>
      <c r="D114" s="98">
        <v>4691.7040358744398</v>
      </c>
      <c r="E114" s="98">
        <v>4691.7040358744398</v>
      </c>
      <c r="F114" s="98">
        <v>6112.4634858812069</v>
      </c>
      <c r="G114" s="98">
        <v>7563.2530120481933</v>
      </c>
      <c r="H114" s="98">
        <v>8647.7898375000004</v>
      </c>
      <c r="I114" s="98">
        <v>10084.337349397591</v>
      </c>
      <c r="J114" s="98">
        <v>10084.337349397591</v>
      </c>
      <c r="K114" s="98">
        <v>12971.684756249999</v>
      </c>
      <c r="L114" s="98">
        <v>12971.684756249999</v>
      </c>
      <c r="M114" s="98">
        <v>11540.807799442897</v>
      </c>
      <c r="N114" s="98">
        <v>7563.2530120481933</v>
      </c>
      <c r="O114" s="98">
        <v>7563.2530120481933</v>
      </c>
      <c r="P114" s="98">
        <v>104486.27244201273</v>
      </c>
    </row>
    <row r="115" spans="2:16">
      <c r="C115" s="98" t="s">
        <v>197</v>
      </c>
      <c r="D115" s="98">
        <v>4353.9013452914796</v>
      </c>
      <c r="E115" s="98">
        <v>4353.9013452914796</v>
      </c>
      <c r="F115" s="98">
        <v>5183.369036027264</v>
      </c>
      <c r="G115" s="98">
        <v>6413.6385542168682</v>
      </c>
      <c r="H115" s="98">
        <v>7333.3257822000005</v>
      </c>
      <c r="I115" s="98">
        <v>8551.5180722891564</v>
      </c>
      <c r="J115" s="98">
        <v>8551.5180722891564</v>
      </c>
      <c r="K115" s="98">
        <v>10999.9886733</v>
      </c>
      <c r="L115" s="98">
        <v>10999.9886733</v>
      </c>
      <c r="M115" s="98">
        <v>9786.6050139275758</v>
      </c>
      <c r="N115" s="98">
        <v>6413.6385542168682</v>
      </c>
      <c r="O115" s="98">
        <v>6413.6385542168682</v>
      </c>
      <c r="P115" s="98">
        <v>89355.031676566723</v>
      </c>
    </row>
    <row r="116" spans="2:16">
      <c r="C116" s="98" t="s">
        <v>198</v>
      </c>
      <c r="D116" s="98">
        <v>337.80269058296017</v>
      </c>
      <c r="E116" s="98">
        <v>337.80269058296017</v>
      </c>
      <c r="F116" s="98">
        <v>929.09444985394293</v>
      </c>
      <c r="G116" s="98">
        <v>1149.6144578313251</v>
      </c>
      <c r="H116" s="98">
        <v>1314.4640552999999</v>
      </c>
      <c r="I116" s="98">
        <v>1532.8192771084341</v>
      </c>
      <c r="J116" s="98">
        <v>1532.8192771084341</v>
      </c>
      <c r="K116" s="98">
        <v>1971.6960829499985</v>
      </c>
      <c r="L116" s="98">
        <v>1971.6960829499985</v>
      </c>
      <c r="M116" s="98">
        <v>1754.202785515321</v>
      </c>
      <c r="N116" s="98">
        <v>1149.6144578313251</v>
      </c>
      <c r="O116" s="98">
        <v>1149.6144578313251</v>
      </c>
      <c r="P116" s="98">
        <v>15131.240765446026</v>
      </c>
    </row>
    <row r="117" spans="2:16">
      <c r="B117" s="98" t="s">
        <v>158</v>
      </c>
      <c r="C117" s="98" t="s">
        <v>194</v>
      </c>
      <c r="D117" s="98">
        <v>1.28</v>
      </c>
    </row>
    <row r="118" spans="2:16">
      <c r="C118" s="98" t="s">
        <v>195</v>
      </c>
      <c r="D118" s="98">
        <v>1.06</v>
      </c>
    </row>
    <row r="119" spans="2:16">
      <c r="C119" s="98" t="s">
        <v>196</v>
      </c>
      <c r="D119" s="98">
        <v>4979.6825396825398</v>
      </c>
      <c r="E119" s="98">
        <v>4979.6825396825398</v>
      </c>
      <c r="F119" s="98">
        <v>6178.2932166301971</v>
      </c>
      <c r="G119" s="98">
        <v>7208.0087527352298</v>
      </c>
      <c r="H119" s="98">
        <v>8237.7242888402616</v>
      </c>
      <c r="I119" s="98">
        <v>10297.155361050329</v>
      </c>
      <c r="J119" s="98">
        <v>10297.155361050329</v>
      </c>
      <c r="K119" s="98">
        <v>12533.713123092573</v>
      </c>
      <c r="L119" s="98">
        <v>12533.713123092573</v>
      </c>
      <c r="M119" s="98">
        <v>11326.870897155361</v>
      </c>
      <c r="N119" s="98">
        <v>7208.0087527352298</v>
      </c>
      <c r="O119" s="98">
        <v>6008.4695868061717</v>
      </c>
      <c r="P119" s="98">
        <v>101788.47754255333</v>
      </c>
    </row>
    <row r="120" spans="2:16">
      <c r="C120" s="98" t="s">
        <v>23</v>
      </c>
      <c r="D120" s="98">
        <v>6373.9936507936509</v>
      </c>
      <c r="E120" s="98">
        <v>6373.9936507936509</v>
      </c>
      <c r="F120" s="98">
        <v>7908.2153172866529</v>
      </c>
      <c r="G120" s="98">
        <v>9226.251203501095</v>
      </c>
      <c r="H120" s="98">
        <v>10544.287089715535</v>
      </c>
      <c r="I120" s="98">
        <v>13180.358862144421</v>
      </c>
      <c r="J120" s="98">
        <v>13180.358862144421</v>
      </c>
      <c r="K120" s="98">
        <v>16043.152797558494</v>
      </c>
      <c r="L120" s="98">
        <v>16043.152797558494</v>
      </c>
      <c r="M120" s="98">
        <v>14498.394748358862</v>
      </c>
      <c r="N120" s="98">
        <v>9226.251203501095</v>
      </c>
      <c r="O120" s="98">
        <v>7690.8410711118995</v>
      </c>
      <c r="P120" s="98">
        <v>130289.25125446825</v>
      </c>
    </row>
    <row r="121" spans="2:16">
      <c r="C121" s="98" t="s">
        <v>197</v>
      </c>
      <c r="D121" s="98">
        <v>5776.4317460317461</v>
      </c>
      <c r="E121" s="98">
        <v>5776.4317460317461</v>
      </c>
      <c r="F121" s="98">
        <v>6548.9908096280096</v>
      </c>
      <c r="G121" s="98">
        <v>7640.4892778993444</v>
      </c>
      <c r="H121" s="98">
        <v>8731.9877461706783</v>
      </c>
      <c r="I121" s="98">
        <v>10914.98468271335</v>
      </c>
      <c r="J121" s="98">
        <v>10914.98468271335</v>
      </c>
      <c r="K121" s="98">
        <v>13285.735910478128</v>
      </c>
      <c r="L121" s="98">
        <v>13285.735910478128</v>
      </c>
      <c r="M121" s="98">
        <v>12006.483150984683</v>
      </c>
      <c r="N121" s="98">
        <v>7640.4892778993444</v>
      </c>
      <c r="O121" s="98">
        <v>6368.9777620145423</v>
      </c>
      <c r="P121" s="98">
        <v>108891.72270304307</v>
      </c>
    </row>
    <row r="122" spans="2:16">
      <c r="C122" s="98" t="s">
        <v>198</v>
      </c>
      <c r="D122" s="98">
        <v>597.56190476190477</v>
      </c>
      <c r="E122" s="98">
        <v>597.56190476190477</v>
      </c>
      <c r="F122" s="98">
        <v>1359.2245076586432</v>
      </c>
      <c r="G122" s="98">
        <v>1585.7619256017506</v>
      </c>
      <c r="H122" s="98">
        <v>1812.299343544857</v>
      </c>
      <c r="I122" s="98">
        <v>2265.3741794310718</v>
      </c>
      <c r="J122" s="98">
        <v>2265.3741794310718</v>
      </c>
      <c r="K122" s="98">
        <v>2757.416887080366</v>
      </c>
      <c r="L122" s="98">
        <v>2757.416887080366</v>
      </c>
      <c r="M122" s="98">
        <v>2491.9115973741791</v>
      </c>
      <c r="N122" s="98">
        <v>1585.7619256017506</v>
      </c>
      <c r="O122" s="98">
        <v>1321.8633090973572</v>
      </c>
      <c r="P122" s="98">
        <v>21397.528551425221</v>
      </c>
    </row>
    <row r="123" spans="2:16">
      <c r="B123" s="98" t="s">
        <v>159</v>
      </c>
      <c r="C123" s="98" t="s">
        <v>194</v>
      </c>
      <c r="D123" s="98">
        <v>1.25</v>
      </c>
    </row>
    <row r="124" spans="2:16">
      <c r="C124" s="98" t="s">
        <v>195</v>
      </c>
      <c r="D124" s="98">
        <v>1.0974999999999999</v>
      </c>
    </row>
    <row r="125" spans="2:16">
      <c r="C125" s="98" t="s">
        <v>196</v>
      </c>
      <c r="D125" s="98">
        <v>0</v>
      </c>
      <c r="E125" s="98">
        <v>470.39058999999907</v>
      </c>
      <c r="F125" s="98">
        <v>0</v>
      </c>
      <c r="G125" s="98">
        <v>0</v>
      </c>
      <c r="H125" s="98">
        <v>173.13710800000263</v>
      </c>
      <c r="I125" s="98">
        <v>470.39058999999907</v>
      </c>
      <c r="J125" s="98">
        <v>470.39058999999907</v>
      </c>
      <c r="K125" s="98">
        <v>36.863417500000651</v>
      </c>
      <c r="L125" s="98">
        <v>36.863417500000651</v>
      </c>
      <c r="M125" s="98">
        <v>200.65983799999958</v>
      </c>
      <c r="N125" s="98">
        <v>0</v>
      </c>
      <c r="O125" s="98">
        <v>0</v>
      </c>
      <c r="P125" s="98">
        <v>1858.6955510000007</v>
      </c>
    </row>
    <row r="126" spans="2:16">
      <c r="C126" s="98" t="s">
        <v>23</v>
      </c>
      <c r="D126" s="98">
        <v>0</v>
      </c>
      <c r="E126" s="98">
        <v>587.98823749999883</v>
      </c>
      <c r="F126" s="98">
        <v>0</v>
      </c>
      <c r="G126" s="98">
        <v>0</v>
      </c>
      <c r="H126" s="98">
        <v>216.42138500000328</v>
      </c>
      <c r="I126" s="98">
        <v>587.98823749999883</v>
      </c>
      <c r="J126" s="98">
        <v>587.98823749999883</v>
      </c>
      <c r="K126" s="98">
        <v>46.079271875000813</v>
      </c>
      <c r="L126" s="98">
        <v>46.079271875000813</v>
      </c>
      <c r="M126" s="98">
        <v>250.82479749999948</v>
      </c>
      <c r="N126" s="98">
        <v>0</v>
      </c>
      <c r="O126" s="98">
        <v>0</v>
      </c>
      <c r="P126" s="98">
        <v>2323.3694387500009</v>
      </c>
    </row>
    <row r="127" spans="2:16">
      <c r="C127" s="98" t="s">
        <v>197</v>
      </c>
      <c r="D127" s="98">
        <v>0</v>
      </c>
      <c r="E127" s="98">
        <v>545.65308439999887</v>
      </c>
      <c r="F127" s="98">
        <v>0</v>
      </c>
      <c r="G127" s="98">
        <v>0</v>
      </c>
      <c r="H127" s="98">
        <v>190.01797603000287</v>
      </c>
      <c r="I127" s="98">
        <v>516.25367252499893</v>
      </c>
      <c r="J127" s="98">
        <v>516.25367252499893</v>
      </c>
      <c r="K127" s="98">
        <v>40.457600706250709</v>
      </c>
      <c r="L127" s="98">
        <v>40.457600706250709</v>
      </c>
      <c r="M127" s="98">
        <v>220.22417220499952</v>
      </c>
      <c r="N127" s="98">
        <v>0</v>
      </c>
      <c r="O127" s="98">
        <v>0</v>
      </c>
      <c r="P127" s="98">
        <v>2069.3177790975005</v>
      </c>
    </row>
    <row r="128" spans="2:16">
      <c r="C128" s="98" t="s">
        <v>198</v>
      </c>
      <c r="D128" s="98">
        <v>0</v>
      </c>
      <c r="E128" s="98">
        <v>42.335153099999957</v>
      </c>
      <c r="F128" s="98">
        <v>0</v>
      </c>
      <c r="G128" s="98">
        <v>0</v>
      </c>
      <c r="H128" s="98">
        <v>26.403408970000413</v>
      </c>
      <c r="I128" s="98">
        <v>71.734564974999898</v>
      </c>
      <c r="J128" s="98">
        <v>71.734564974999898</v>
      </c>
      <c r="K128" s="98">
        <v>5.6216711687501046</v>
      </c>
      <c r="L128" s="98">
        <v>5.6216711687501046</v>
      </c>
      <c r="M128" s="98">
        <v>30.600625294999958</v>
      </c>
      <c r="N128" s="98">
        <v>0</v>
      </c>
      <c r="O128" s="98">
        <v>0</v>
      </c>
      <c r="P128" s="98">
        <v>254.05165965250035</v>
      </c>
    </row>
    <row r="130" spans="2:16">
      <c r="C130" s="98" t="s">
        <v>199</v>
      </c>
      <c r="D130" s="98">
        <v>20773.514613139727</v>
      </c>
      <c r="E130" s="98">
        <v>21361.502850639725</v>
      </c>
      <c r="F130" s="98">
        <v>24307.622781827209</v>
      </c>
      <c r="G130" s="98">
        <v>28235.059566054151</v>
      </c>
      <c r="H130" s="98">
        <v>32492.125244854491</v>
      </c>
      <c r="I130" s="98">
        <v>55387.816421768417</v>
      </c>
      <c r="J130" s="98">
        <v>55387.816421768417</v>
      </c>
      <c r="K130" s="98">
        <v>63749.219443313195</v>
      </c>
      <c r="L130" s="98">
        <v>63749.219443313195</v>
      </c>
      <c r="M130" s="98">
        <v>59909.649365463047</v>
      </c>
      <c r="N130" s="98">
        <v>28235.059566054151</v>
      </c>
      <c r="O130" s="98">
        <v>26537.806097381192</v>
      </c>
      <c r="P130" s="98">
        <v>480126.4118155769</v>
      </c>
    </row>
    <row r="131" spans="2:16">
      <c r="C131" s="98" t="s">
        <v>200</v>
      </c>
      <c r="D131" s="98">
        <v>12945.599999999999</v>
      </c>
      <c r="E131" s="98">
        <v>13491.253084399998</v>
      </c>
      <c r="F131" s="98">
        <v>14639.871192464298</v>
      </c>
      <c r="G131" s="98">
        <v>17285.019408926739</v>
      </c>
      <c r="H131" s="98">
        <v>19948.646772196393</v>
      </c>
      <c r="I131" s="98">
        <v>29383.390821131183</v>
      </c>
      <c r="J131" s="98">
        <v>29383.390821131183</v>
      </c>
      <c r="K131" s="98">
        <v>34666.612730982546</v>
      </c>
      <c r="L131" s="98">
        <v>34666.612730982546</v>
      </c>
      <c r="M131" s="98">
        <v>32028.758890563357</v>
      </c>
      <c r="N131" s="98">
        <v>17285.019408926739</v>
      </c>
      <c r="O131" s="98">
        <v>15969.0009755639</v>
      </c>
      <c r="P131" s="98">
        <v>271693.17683726887</v>
      </c>
    </row>
    <row r="132" spans="2:16">
      <c r="C132" s="98" t="s">
        <v>201</v>
      </c>
      <c r="D132" s="98">
        <v>7827.9146131397265</v>
      </c>
      <c r="E132" s="98">
        <v>7870.2497662397263</v>
      </c>
      <c r="F132" s="98">
        <v>9667.7515893629134</v>
      </c>
      <c r="G132" s="98">
        <v>10950.040157127416</v>
      </c>
      <c r="H132" s="98">
        <v>12543.478472658097</v>
      </c>
      <c r="I132" s="98">
        <v>26004.425600637231</v>
      </c>
      <c r="J132" s="98">
        <v>26004.425600637231</v>
      </c>
      <c r="K132" s="98">
        <v>29082.606712330649</v>
      </c>
      <c r="L132" s="98">
        <v>29082.606712330649</v>
      </c>
      <c r="M132" s="98">
        <v>27880.89047489969</v>
      </c>
      <c r="N132" s="98">
        <v>10950.040157127416</v>
      </c>
      <c r="O132" s="98">
        <v>10568.805121817291</v>
      </c>
      <c r="P132" s="98">
        <v>208433.23497830809</v>
      </c>
    </row>
    <row r="134" spans="2:16">
      <c r="B134" s="98" t="s">
        <v>202</v>
      </c>
      <c r="C134" s="98" t="s">
        <v>203</v>
      </c>
    </row>
    <row r="135" spans="2:16">
      <c r="C135" s="98" t="s">
        <v>181</v>
      </c>
      <c r="D135" s="98">
        <v>10833.333333333334</v>
      </c>
      <c r="E135" s="98">
        <v>10833.333333333334</v>
      </c>
      <c r="F135" s="98">
        <v>10833.333333333334</v>
      </c>
      <c r="G135" s="98">
        <v>10833.333333333334</v>
      </c>
      <c r="H135" s="98">
        <v>10833.333333333334</v>
      </c>
      <c r="I135" s="98">
        <v>10833.333333333334</v>
      </c>
      <c r="J135" s="98">
        <v>10833.333333333334</v>
      </c>
      <c r="K135" s="98">
        <v>10833.333333333334</v>
      </c>
      <c r="L135" s="98">
        <v>10833.333333333334</v>
      </c>
      <c r="M135" s="98">
        <v>10833.333333333334</v>
      </c>
      <c r="N135" s="98">
        <v>10833.333333333334</v>
      </c>
      <c r="O135" s="98">
        <v>10833.333333333334</v>
      </c>
      <c r="P135" s="98">
        <v>129999.99999999999</v>
      </c>
    </row>
    <row r="136" spans="2:16">
      <c r="C136" s="98" t="s">
        <v>182</v>
      </c>
      <c r="D136" s="98">
        <v>2791.6666666666665</v>
      </c>
      <c r="E136" s="98">
        <v>2791.6666666666665</v>
      </c>
      <c r="F136" s="98">
        <v>2791.6666666666665</v>
      </c>
      <c r="G136" s="98">
        <v>2791.6666666666665</v>
      </c>
      <c r="H136" s="98">
        <v>2791.6666666666665</v>
      </c>
      <c r="I136" s="98">
        <v>2791.6666666666665</v>
      </c>
      <c r="J136" s="98">
        <v>2791.6666666666665</v>
      </c>
      <c r="K136" s="98">
        <v>2791.6666666666665</v>
      </c>
      <c r="L136" s="98">
        <v>2791.6666666666665</v>
      </c>
      <c r="M136" s="98">
        <v>2791.6666666666665</v>
      </c>
      <c r="N136" s="98">
        <v>2791.6666666666665</v>
      </c>
      <c r="O136" s="98">
        <v>2791.6666666666665</v>
      </c>
      <c r="P136" s="98">
        <v>33500.000000000007</v>
      </c>
    </row>
    <row r="137" spans="2:16">
      <c r="C137" s="98" t="s">
        <v>183</v>
      </c>
      <c r="D137" s="98">
        <v>3166.6666666666665</v>
      </c>
      <c r="E137" s="98">
        <v>3166.6666666666665</v>
      </c>
      <c r="F137" s="98">
        <v>3166.6666666666665</v>
      </c>
      <c r="G137" s="98">
        <v>3166.6666666666665</v>
      </c>
      <c r="H137" s="98">
        <v>3166.6666666666665</v>
      </c>
      <c r="I137" s="98">
        <v>3166.6666666666665</v>
      </c>
      <c r="J137" s="98">
        <v>3166.6666666666665</v>
      </c>
      <c r="K137" s="98">
        <v>3166.6666666666665</v>
      </c>
      <c r="L137" s="98">
        <v>3166.6666666666665</v>
      </c>
      <c r="M137" s="98">
        <v>3166.6666666666665</v>
      </c>
      <c r="N137" s="98">
        <v>3166.6666666666665</v>
      </c>
      <c r="O137" s="98">
        <v>3166.6666666666665</v>
      </c>
      <c r="P137" s="98">
        <v>38000</v>
      </c>
    </row>
    <row r="138" spans="2:16">
      <c r="C138" s="98" t="s">
        <v>184</v>
      </c>
      <c r="D138" s="98">
        <v>416.66666666666669</v>
      </c>
      <c r="E138" s="98">
        <v>416.66666666666669</v>
      </c>
      <c r="F138" s="98">
        <v>416.66666666666669</v>
      </c>
      <c r="G138" s="98">
        <v>416.66666666666669</v>
      </c>
      <c r="H138" s="98">
        <v>416.66666666666669</v>
      </c>
      <c r="I138" s="98">
        <v>416.66666666666669</v>
      </c>
      <c r="J138" s="98">
        <v>416.66666666666669</v>
      </c>
      <c r="K138" s="98">
        <v>416.66666666666669</v>
      </c>
      <c r="L138" s="98">
        <v>416.66666666666669</v>
      </c>
      <c r="M138" s="98">
        <v>416.66666666666669</v>
      </c>
      <c r="N138" s="98">
        <v>416.66666666666669</v>
      </c>
      <c r="O138" s="98">
        <v>416.66666666666669</v>
      </c>
      <c r="P138" s="98">
        <v>5000</v>
      </c>
    </row>
    <row r="140" spans="2:16">
      <c r="C140" s="98" t="s">
        <v>204</v>
      </c>
      <c r="D140" s="98">
        <v>1603.2599563249066</v>
      </c>
      <c r="E140" s="98">
        <v>1603.2599563249066</v>
      </c>
      <c r="F140" s="98">
        <v>1603.2599563249066</v>
      </c>
      <c r="G140" s="98">
        <v>1603.2599563249066</v>
      </c>
      <c r="H140" s="98">
        <v>1603.2599563249066</v>
      </c>
      <c r="I140" s="98">
        <v>1603.2599563249066</v>
      </c>
      <c r="J140" s="98">
        <v>1603.2599563249066</v>
      </c>
      <c r="K140" s="98">
        <v>1603.2599563249066</v>
      </c>
      <c r="L140" s="98">
        <v>1603.2599563249066</v>
      </c>
      <c r="M140" s="98">
        <v>1603.2599563249066</v>
      </c>
      <c r="N140" s="98">
        <v>1603.2599563249066</v>
      </c>
      <c r="O140" s="98">
        <v>1603.2599563249066</v>
      </c>
      <c r="P140" s="98">
        <v>19239.119475898875</v>
      </c>
    </row>
    <row r="142" spans="2:16">
      <c r="C142" s="98" t="s">
        <v>6</v>
      </c>
      <c r="D142" s="98">
        <v>19436.593289658242</v>
      </c>
      <c r="E142" s="98">
        <v>19436.593289658242</v>
      </c>
      <c r="F142" s="98">
        <v>19436.593289658242</v>
      </c>
      <c r="G142" s="98">
        <v>19436.593289658242</v>
      </c>
      <c r="H142" s="98">
        <v>19436.593289658242</v>
      </c>
      <c r="I142" s="98">
        <v>19436.593289658242</v>
      </c>
      <c r="J142" s="98">
        <v>19436.593289658242</v>
      </c>
      <c r="K142" s="98">
        <v>19436.593289658242</v>
      </c>
      <c r="L142" s="98">
        <v>19436.593289658242</v>
      </c>
      <c r="M142" s="98">
        <v>19436.593289658242</v>
      </c>
      <c r="N142" s="98">
        <v>19436.593289658242</v>
      </c>
      <c r="O142" s="98">
        <v>19436.593289658242</v>
      </c>
      <c r="P142" s="98">
        <v>233239.11947589894</v>
      </c>
    </row>
    <row r="144" spans="2:16">
      <c r="C144" s="98" t="s">
        <v>20</v>
      </c>
      <c r="D144" s="98">
        <v>625</v>
      </c>
      <c r="E144" s="98">
        <v>625</v>
      </c>
      <c r="F144" s="98">
        <v>625</v>
      </c>
      <c r="G144" s="98">
        <v>625</v>
      </c>
      <c r="H144" s="98">
        <v>625</v>
      </c>
      <c r="I144" s="98">
        <v>625</v>
      </c>
      <c r="J144" s="98">
        <v>625</v>
      </c>
      <c r="K144" s="98">
        <v>625</v>
      </c>
      <c r="L144" s="98">
        <v>625</v>
      </c>
      <c r="M144" s="98">
        <v>625</v>
      </c>
      <c r="N144" s="98">
        <v>625</v>
      </c>
      <c r="O144" s="98">
        <v>625</v>
      </c>
      <c r="P144" s="98">
        <v>7500</v>
      </c>
    </row>
    <row r="145" spans="1:16">
      <c r="C145" s="98" t="s">
        <v>205</v>
      </c>
      <c r="D145" s="98">
        <v>-11608.678676518515</v>
      </c>
      <c r="E145" s="98">
        <v>-11566.343523418516</v>
      </c>
      <c r="F145" s="98">
        <v>-9768.8417002953283</v>
      </c>
      <c r="G145" s="98">
        <v>-8486.5531325308257</v>
      </c>
      <c r="H145" s="98">
        <v>-6893.1148170001452</v>
      </c>
      <c r="I145" s="98">
        <v>6567.832310978989</v>
      </c>
      <c r="J145" s="98">
        <v>6567.832310978989</v>
      </c>
      <c r="K145" s="98">
        <v>9646.0134226724076</v>
      </c>
      <c r="L145" s="98">
        <v>9646.0134226724076</v>
      </c>
      <c r="M145" s="98">
        <v>8444.2971852414485</v>
      </c>
      <c r="N145" s="98">
        <v>-8486.5531325308257</v>
      </c>
      <c r="O145" s="98">
        <v>-8867.7881678409503</v>
      </c>
      <c r="P145" s="98">
        <v>-24805.884497590869</v>
      </c>
    </row>
    <row r="146" spans="1:16">
      <c r="C146" s="98" t="s">
        <v>206</v>
      </c>
      <c r="D146" s="98">
        <v>0.35</v>
      </c>
    </row>
    <row r="147" spans="1:16">
      <c r="C147" s="98" t="s">
        <v>207</v>
      </c>
      <c r="D147" s="98">
        <v>-11608.678676518515</v>
      </c>
      <c r="E147" s="98">
        <v>-23175.022199937033</v>
      </c>
      <c r="F147" s="98">
        <v>-32943.863900232362</v>
      </c>
      <c r="G147" s="98">
        <v>-41430.417032763187</v>
      </c>
      <c r="H147" s="98">
        <v>-48323.531849763334</v>
      </c>
      <c r="I147" s="98">
        <v>-41755.699538784349</v>
      </c>
      <c r="J147" s="98">
        <v>-35187.867227805356</v>
      </c>
      <c r="K147" s="98">
        <v>-25541.853805132949</v>
      </c>
      <c r="L147" s="98">
        <v>-15895.840382460541</v>
      </c>
      <c r="M147" s="98">
        <v>-7451.5431972190927</v>
      </c>
      <c r="N147" s="98">
        <v>-15938.096329749918</v>
      </c>
      <c r="O147" s="98">
        <v>-24805.884497590869</v>
      </c>
    </row>
    <row r="148" spans="1:16">
      <c r="C148" s="98" t="s">
        <v>208</v>
      </c>
      <c r="D148" s="98">
        <v>-11608.6787</v>
      </c>
      <c r="E148" s="98">
        <v>-11566.343500000001</v>
      </c>
      <c r="F148" s="98">
        <v>-9768.8417000000009</v>
      </c>
      <c r="G148" s="98">
        <v>-8486.5530999999992</v>
      </c>
      <c r="H148" s="98">
        <v>-6893.1148000000003</v>
      </c>
      <c r="I148" s="98">
        <v>6567.8323</v>
      </c>
      <c r="J148" s="98">
        <v>6567.8323</v>
      </c>
      <c r="K148" s="98">
        <v>9646.0133999999998</v>
      </c>
      <c r="L148" s="98">
        <v>9646.0133999999998</v>
      </c>
      <c r="M148" s="98">
        <v>8444.2972000000009</v>
      </c>
      <c r="N148" s="98">
        <v>-8486.5530999999992</v>
      </c>
      <c r="O148" s="98">
        <v>-8242.7882000000009</v>
      </c>
      <c r="P148" s="98">
        <v>-24180.884499999993</v>
      </c>
    </row>
    <row r="149" spans="1:16">
      <c r="C149" s="98" t="s">
        <v>190</v>
      </c>
      <c r="D149" s="98" t="s">
        <v>0</v>
      </c>
      <c r="E149" s="98" t="s">
        <v>0</v>
      </c>
      <c r="F149" s="98" t="s">
        <v>0</v>
      </c>
      <c r="G149" s="98" t="s">
        <v>0</v>
      </c>
      <c r="H149" s="98" t="s">
        <v>0</v>
      </c>
      <c r="I149" s="98" t="s">
        <v>0</v>
      </c>
      <c r="J149" s="98" t="s">
        <v>0</v>
      </c>
      <c r="K149" s="98" t="s">
        <v>0</v>
      </c>
      <c r="L149" s="98" t="s">
        <v>0</v>
      </c>
      <c r="M149" s="98" t="s">
        <v>0</v>
      </c>
      <c r="N149" s="98" t="s">
        <v>0</v>
      </c>
      <c r="O149" s="98" t="s">
        <v>0</v>
      </c>
      <c r="P149" s="98" t="s">
        <v>0</v>
      </c>
    </row>
    <row r="150" spans="1:16">
      <c r="C150" s="98" t="s">
        <v>192</v>
      </c>
      <c r="D150" s="98" t="s">
        <v>138</v>
      </c>
      <c r="E150" s="98" t="s">
        <v>139</v>
      </c>
      <c r="F150" s="98" t="s">
        <v>140</v>
      </c>
      <c r="G150" s="98" t="s">
        <v>141</v>
      </c>
      <c r="H150" s="98" t="s">
        <v>142</v>
      </c>
      <c r="I150" s="98" t="s">
        <v>143</v>
      </c>
      <c r="J150" s="98" t="s">
        <v>144</v>
      </c>
      <c r="K150" s="98" t="s">
        <v>145</v>
      </c>
      <c r="L150" s="98" t="s">
        <v>146</v>
      </c>
      <c r="M150" s="98" t="s">
        <v>147</v>
      </c>
      <c r="N150" s="98" t="s">
        <v>148</v>
      </c>
      <c r="O150" s="98" t="s">
        <v>149</v>
      </c>
      <c r="P150" s="98" t="s">
        <v>193</v>
      </c>
    </row>
    <row r="152" spans="1:16">
      <c r="A152" s="98">
        <v>5</v>
      </c>
      <c r="B152" s="98" t="s">
        <v>209</v>
      </c>
    </row>
    <row r="153" spans="1:16">
      <c r="B153" s="98" t="s">
        <v>190</v>
      </c>
      <c r="D153" s="98" t="s">
        <v>1</v>
      </c>
      <c r="E153" s="98" t="s">
        <v>1</v>
      </c>
      <c r="F153" s="98" t="s">
        <v>1</v>
      </c>
      <c r="G153" s="98" t="s">
        <v>1</v>
      </c>
      <c r="H153" s="98" t="s">
        <v>1</v>
      </c>
      <c r="I153" s="98" t="s">
        <v>1</v>
      </c>
      <c r="J153" s="98" t="s">
        <v>1</v>
      </c>
      <c r="K153" s="98" t="s">
        <v>1</v>
      </c>
      <c r="L153" s="98" t="s">
        <v>1</v>
      </c>
      <c r="M153" s="98" t="s">
        <v>1</v>
      </c>
      <c r="N153" s="98" t="s">
        <v>1</v>
      </c>
      <c r="O153" s="98" t="s">
        <v>1</v>
      </c>
      <c r="P153" s="98" t="s">
        <v>210</v>
      </c>
    </row>
    <row r="154" spans="1:16">
      <c r="B154" s="98" t="s">
        <v>192</v>
      </c>
      <c r="D154" s="98" t="s">
        <v>138</v>
      </c>
      <c r="E154" s="98" t="s">
        <v>139</v>
      </c>
      <c r="F154" s="98" t="s">
        <v>140</v>
      </c>
      <c r="G154" s="98" t="s">
        <v>141</v>
      </c>
      <c r="H154" s="98" t="s">
        <v>142</v>
      </c>
      <c r="I154" s="98" t="s">
        <v>143</v>
      </c>
      <c r="J154" s="98" t="s">
        <v>144</v>
      </c>
      <c r="K154" s="98" t="s">
        <v>145</v>
      </c>
      <c r="L154" s="98" t="s">
        <v>146</v>
      </c>
      <c r="M154" s="98" t="s">
        <v>147</v>
      </c>
      <c r="N154" s="98" t="s">
        <v>148</v>
      </c>
      <c r="O154" s="98" t="s">
        <v>149</v>
      </c>
      <c r="P154" s="98" t="s">
        <v>193</v>
      </c>
    </row>
    <row r="155" spans="1:16">
      <c r="B155" s="98" t="s">
        <v>151</v>
      </c>
      <c r="C155" s="98" t="s">
        <v>194</v>
      </c>
      <c r="D155" s="98">
        <v>4</v>
      </c>
    </row>
    <row r="156" spans="1:16">
      <c r="C156" s="98" t="s">
        <v>195</v>
      </c>
      <c r="D156" s="98">
        <v>1.1599999999999999</v>
      </c>
    </row>
    <row r="157" spans="1:16">
      <c r="C157" s="98" t="s">
        <v>196</v>
      </c>
      <c r="D157" s="98">
        <v>1509.7736057426832</v>
      </c>
      <c r="E157" s="98">
        <v>1509.7736057426832</v>
      </c>
      <c r="F157" s="98">
        <v>1568.9734830000002</v>
      </c>
      <c r="G157" s="98">
        <v>1390.8605341246289</v>
      </c>
      <c r="H157" s="98">
        <v>1622.6706231454002</v>
      </c>
      <c r="I157" s="98">
        <v>2086.2908011869431</v>
      </c>
      <c r="J157" s="98">
        <v>2086.2908011869431</v>
      </c>
      <c r="K157" s="98">
        <v>2193.2618683001529</v>
      </c>
      <c r="L157" s="98">
        <v>2193.2618683001529</v>
      </c>
      <c r="M157" s="98">
        <v>2143.798024149286</v>
      </c>
      <c r="N157" s="98">
        <v>1390.8605341246289</v>
      </c>
      <c r="O157" s="98">
        <v>1390.8605341246289</v>
      </c>
      <c r="P157" s="98">
        <v>21086.67628312813</v>
      </c>
    </row>
    <row r="158" spans="1:16">
      <c r="C158" s="98" t="s">
        <v>23</v>
      </c>
      <c r="D158" s="98">
        <v>6039.0944229707329</v>
      </c>
      <c r="E158" s="98">
        <v>6039.0944229707329</v>
      </c>
      <c r="F158" s="98">
        <v>6275.8939320000009</v>
      </c>
      <c r="G158" s="98">
        <v>5563.4421364985155</v>
      </c>
      <c r="H158" s="98">
        <v>6490.6824925816009</v>
      </c>
      <c r="I158" s="98">
        <v>8345.1632047477724</v>
      </c>
      <c r="J158" s="98">
        <v>8345.1632047477724</v>
      </c>
      <c r="K158" s="98">
        <v>8773.0474732006114</v>
      </c>
      <c r="L158" s="98">
        <v>8773.0474732006114</v>
      </c>
      <c r="M158" s="98">
        <v>8575.192096597144</v>
      </c>
      <c r="N158" s="98">
        <v>5563.4421364985155</v>
      </c>
      <c r="O158" s="98">
        <v>5563.4421364985155</v>
      </c>
      <c r="P158" s="98">
        <v>84346.705132512521</v>
      </c>
    </row>
    <row r="159" spans="1:16">
      <c r="C159" s="98" t="s">
        <v>197</v>
      </c>
      <c r="D159" s="98">
        <v>1751.3373826615125</v>
      </c>
      <c r="E159" s="98">
        <v>1751.3373826615125</v>
      </c>
      <c r="F159" s="98">
        <v>1820.0092402800001</v>
      </c>
      <c r="G159" s="98">
        <v>1613.3982195845695</v>
      </c>
      <c r="H159" s="98">
        <v>1882.297922848664</v>
      </c>
      <c r="I159" s="98">
        <v>2420.0973293768538</v>
      </c>
      <c r="J159" s="98">
        <v>2420.0973293768538</v>
      </c>
      <c r="K159" s="98">
        <v>2544.1837672281772</v>
      </c>
      <c r="L159" s="98">
        <v>2544.1837672281772</v>
      </c>
      <c r="M159" s="98">
        <v>2486.8057080131716</v>
      </c>
      <c r="N159" s="98">
        <v>1613.3982195845695</v>
      </c>
      <c r="O159" s="98">
        <v>1613.3982195845695</v>
      </c>
      <c r="P159" s="98">
        <v>24460.544488428633</v>
      </c>
    </row>
    <row r="160" spans="1:16">
      <c r="C160" s="98" t="s">
        <v>198</v>
      </c>
      <c r="D160" s="98">
        <v>4287.7570403092204</v>
      </c>
      <c r="E160" s="98">
        <v>4287.7570403092204</v>
      </c>
      <c r="F160" s="98">
        <v>4455.8846917200008</v>
      </c>
      <c r="G160" s="98">
        <v>3950.0439169139463</v>
      </c>
      <c r="H160" s="98">
        <v>4608.3845697329371</v>
      </c>
      <c r="I160" s="98">
        <v>5925.0658753709185</v>
      </c>
      <c r="J160" s="98">
        <v>5925.0658753709185</v>
      </c>
      <c r="K160" s="98">
        <v>6228.8637059724342</v>
      </c>
      <c r="L160" s="98">
        <v>6228.8637059724342</v>
      </c>
      <c r="M160" s="98">
        <v>6088.3863885839728</v>
      </c>
      <c r="N160" s="98">
        <v>3950.0439169139463</v>
      </c>
      <c r="O160" s="98">
        <v>3950.0439169139463</v>
      </c>
      <c r="P160" s="98">
        <v>59886.160644083895</v>
      </c>
    </row>
    <row r="161" spans="2:16">
      <c r="B161" s="98" t="s">
        <v>152</v>
      </c>
      <c r="C161" s="98" t="s">
        <v>194</v>
      </c>
      <c r="D161" s="98">
        <v>4</v>
      </c>
    </row>
    <row r="162" spans="2:16">
      <c r="C162" s="98" t="s">
        <v>195</v>
      </c>
      <c r="D162" s="98">
        <v>1.1000000000000001</v>
      </c>
    </row>
    <row r="163" spans="2:16">
      <c r="C163" s="98" t="s">
        <v>196</v>
      </c>
      <c r="D163" s="98">
        <v>1216.3830843525745</v>
      </c>
      <c r="E163" s="98">
        <v>1216.3830843525745</v>
      </c>
      <c r="F163" s="98">
        <v>1257.5014580660213</v>
      </c>
      <c r="G163" s="98">
        <v>1467.085034410358</v>
      </c>
      <c r="H163" s="98">
        <v>1676.668610754695</v>
      </c>
      <c r="I163" s="98">
        <v>2095.8357634433683</v>
      </c>
      <c r="J163" s="98">
        <v>2095.8357634433683</v>
      </c>
      <c r="K163" s="98">
        <v>2338.3548759206124</v>
      </c>
      <c r="L163" s="98">
        <v>2338.3548759206124</v>
      </c>
      <c r="M163" s="98">
        <v>2305.4193397877057</v>
      </c>
      <c r="N163" s="98">
        <v>1467.085034410358</v>
      </c>
      <c r="O163" s="98">
        <v>1467.085034410358</v>
      </c>
      <c r="P163" s="98">
        <v>20941.991959272604</v>
      </c>
    </row>
    <row r="164" spans="2:16">
      <c r="C164" s="98" t="s">
        <v>23</v>
      </c>
      <c r="D164" s="98">
        <v>4865.5323374102982</v>
      </c>
      <c r="E164" s="98">
        <v>4865.5323374102982</v>
      </c>
      <c r="F164" s="98">
        <v>5030.0058322640853</v>
      </c>
      <c r="G164" s="98">
        <v>5868.3401376414322</v>
      </c>
      <c r="H164" s="98">
        <v>6706.67444301878</v>
      </c>
      <c r="I164" s="98">
        <v>8383.343053773473</v>
      </c>
      <c r="J164" s="98">
        <v>8383.343053773473</v>
      </c>
      <c r="K164" s="98">
        <v>9353.4195036824494</v>
      </c>
      <c r="L164" s="98">
        <v>9353.4195036824494</v>
      </c>
      <c r="M164" s="98">
        <v>9221.6773591508227</v>
      </c>
      <c r="N164" s="98">
        <v>5868.3401376414322</v>
      </c>
      <c r="O164" s="98">
        <v>5868.3401376414322</v>
      </c>
      <c r="P164" s="98">
        <v>83767.967837090415</v>
      </c>
    </row>
    <row r="165" spans="2:16">
      <c r="C165" s="98" t="s">
        <v>197</v>
      </c>
      <c r="D165" s="98">
        <v>1411.0043778489865</v>
      </c>
      <c r="E165" s="98">
        <v>1411.0043778489865</v>
      </c>
      <c r="F165" s="98">
        <v>1383.2516038726235</v>
      </c>
      <c r="G165" s="98">
        <v>1613.7935378513939</v>
      </c>
      <c r="H165" s="98">
        <v>1844.3354718301646</v>
      </c>
      <c r="I165" s="98">
        <v>2305.4193397877052</v>
      </c>
      <c r="J165" s="98">
        <v>2305.4193397877052</v>
      </c>
      <c r="K165" s="98">
        <v>2572.1903635126737</v>
      </c>
      <c r="L165" s="98">
        <v>2572.1903635126737</v>
      </c>
      <c r="M165" s="98">
        <v>2535.9612737664766</v>
      </c>
      <c r="N165" s="98">
        <v>1613.7935378513939</v>
      </c>
      <c r="O165" s="98">
        <v>1613.7935378513939</v>
      </c>
      <c r="P165" s="98">
        <v>23182.157125322174</v>
      </c>
    </row>
    <row r="166" spans="2:16">
      <c r="C166" s="98" t="s">
        <v>198</v>
      </c>
      <c r="D166" s="98">
        <v>3454.5279595613119</v>
      </c>
      <c r="E166" s="98">
        <v>3454.5279595613119</v>
      </c>
      <c r="F166" s="98">
        <v>3646.7542283914618</v>
      </c>
      <c r="G166" s="98">
        <v>4254.5465997900383</v>
      </c>
      <c r="H166" s="98">
        <v>4862.3389711886157</v>
      </c>
      <c r="I166" s="98">
        <v>6077.9237139857678</v>
      </c>
      <c r="J166" s="98">
        <v>6077.9237139857678</v>
      </c>
      <c r="K166" s="98">
        <v>6781.2291401697757</v>
      </c>
      <c r="L166" s="98">
        <v>6781.2291401697757</v>
      </c>
      <c r="M166" s="98">
        <v>6685.7160853843461</v>
      </c>
      <c r="N166" s="98">
        <v>4254.5465997900383</v>
      </c>
      <c r="O166" s="98">
        <v>4254.5465997900383</v>
      </c>
      <c r="P166" s="98">
        <v>60585.810711768252</v>
      </c>
    </row>
    <row r="167" spans="2:16">
      <c r="B167" s="98" t="s">
        <v>153</v>
      </c>
      <c r="C167" s="98" t="s">
        <v>194</v>
      </c>
      <c r="D167" s="98">
        <v>3.5</v>
      </c>
    </row>
    <row r="168" spans="2:16">
      <c r="C168" s="98" t="s">
        <v>195</v>
      </c>
      <c r="D168" s="98">
        <v>1.1000000000000001</v>
      </c>
    </row>
    <row r="169" spans="2:16">
      <c r="C169" s="98" t="s">
        <v>196</v>
      </c>
      <c r="D169" s="98">
        <v>0</v>
      </c>
      <c r="E169" s="98">
        <v>0</v>
      </c>
      <c r="F169" s="98">
        <v>0</v>
      </c>
      <c r="G169" s="98">
        <v>0</v>
      </c>
      <c r="H169" s="98">
        <v>1045.9823220000003</v>
      </c>
      <c r="I169" s="98">
        <v>1240</v>
      </c>
      <c r="J169" s="98">
        <v>1240</v>
      </c>
      <c r="K169" s="98">
        <v>1240</v>
      </c>
      <c r="L169" s="98">
        <v>1240</v>
      </c>
      <c r="M169" s="98">
        <v>1240</v>
      </c>
      <c r="N169" s="98">
        <v>0</v>
      </c>
      <c r="O169" s="98">
        <v>0</v>
      </c>
      <c r="P169" s="98">
        <v>7245.9823219999998</v>
      </c>
    </row>
    <row r="170" spans="2:16">
      <c r="C170" s="98" t="s">
        <v>23</v>
      </c>
      <c r="D170" s="98">
        <v>0</v>
      </c>
      <c r="E170" s="98">
        <v>0</v>
      </c>
      <c r="F170" s="98">
        <v>0</v>
      </c>
      <c r="G170" s="98">
        <v>0</v>
      </c>
      <c r="H170" s="98">
        <v>3660.9381270000013</v>
      </c>
      <c r="I170" s="98">
        <v>4340</v>
      </c>
      <c r="J170" s="98">
        <v>4340</v>
      </c>
      <c r="K170" s="98">
        <v>4340</v>
      </c>
      <c r="L170" s="98">
        <v>4340</v>
      </c>
      <c r="M170" s="98">
        <v>4340</v>
      </c>
      <c r="N170" s="98">
        <v>0</v>
      </c>
      <c r="O170" s="98">
        <v>0</v>
      </c>
      <c r="P170" s="98">
        <v>25360.938127000001</v>
      </c>
    </row>
    <row r="171" spans="2:16">
      <c r="C171" s="98" t="s">
        <v>197</v>
      </c>
      <c r="D171" s="98">
        <v>0</v>
      </c>
      <c r="E171" s="98">
        <v>0</v>
      </c>
      <c r="F171" s="98">
        <v>0</v>
      </c>
      <c r="G171" s="98">
        <v>0</v>
      </c>
      <c r="H171" s="98">
        <v>1150.5805542000005</v>
      </c>
      <c r="I171" s="98">
        <v>1364</v>
      </c>
      <c r="J171" s="98">
        <v>1364</v>
      </c>
      <c r="K171" s="98">
        <v>1364</v>
      </c>
      <c r="L171" s="98">
        <v>1364</v>
      </c>
      <c r="M171" s="98">
        <v>1364</v>
      </c>
      <c r="N171" s="98">
        <v>0</v>
      </c>
      <c r="O171" s="98">
        <v>0</v>
      </c>
      <c r="P171" s="98">
        <v>7970.5805542000007</v>
      </c>
    </row>
    <row r="172" spans="2:16">
      <c r="C172" s="98" t="s">
        <v>198</v>
      </c>
      <c r="D172" s="98">
        <v>0</v>
      </c>
      <c r="E172" s="98">
        <v>0</v>
      </c>
      <c r="F172" s="98">
        <v>0</v>
      </c>
      <c r="G172" s="98">
        <v>0</v>
      </c>
      <c r="H172" s="98">
        <v>2510.3575728000005</v>
      </c>
      <c r="I172" s="98">
        <v>2976</v>
      </c>
      <c r="J172" s="98">
        <v>2976</v>
      </c>
      <c r="K172" s="98">
        <v>2976</v>
      </c>
      <c r="L172" s="98">
        <v>2976</v>
      </c>
      <c r="M172" s="98">
        <v>2976</v>
      </c>
      <c r="N172" s="98">
        <v>0</v>
      </c>
      <c r="O172" s="98">
        <v>0</v>
      </c>
      <c r="P172" s="98">
        <v>17390.3575728</v>
      </c>
    </row>
    <row r="173" spans="2:16">
      <c r="B173" s="98" t="s">
        <v>154</v>
      </c>
      <c r="C173" s="98" t="s">
        <v>194</v>
      </c>
      <c r="D173" s="98">
        <v>3.5</v>
      </c>
    </row>
    <row r="174" spans="2:16">
      <c r="C174" s="98" t="s">
        <v>195</v>
      </c>
      <c r="D174" s="98">
        <v>1.1000000000000001</v>
      </c>
    </row>
    <row r="175" spans="2:16">
      <c r="C175" s="98" t="s">
        <v>196</v>
      </c>
      <c r="D175" s="98">
        <v>0</v>
      </c>
      <c r="E175" s="98">
        <v>0</v>
      </c>
      <c r="F175" s="98">
        <v>0</v>
      </c>
      <c r="G175" s="98">
        <v>0</v>
      </c>
      <c r="H175" s="98">
        <v>0</v>
      </c>
      <c r="I175" s="98">
        <v>1214.0866237500002</v>
      </c>
      <c r="J175" s="98">
        <v>1214.0866237500002</v>
      </c>
      <c r="K175" s="98">
        <v>1240</v>
      </c>
      <c r="L175" s="98">
        <v>1240</v>
      </c>
      <c r="M175" s="98">
        <v>1240</v>
      </c>
      <c r="N175" s="98">
        <v>0</v>
      </c>
      <c r="O175" s="98">
        <v>0</v>
      </c>
      <c r="P175" s="98">
        <v>6148.1732475000008</v>
      </c>
    </row>
    <row r="176" spans="2:16">
      <c r="C176" s="98" t="s">
        <v>23</v>
      </c>
      <c r="D176" s="98">
        <v>0</v>
      </c>
      <c r="E176" s="98">
        <v>0</v>
      </c>
      <c r="F176" s="98">
        <v>0</v>
      </c>
      <c r="G176" s="98">
        <v>0</v>
      </c>
      <c r="H176" s="98">
        <v>0</v>
      </c>
      <c r="I176" s="98">
        <v>4249.3031831250009</v>
      </c>
      <c r="J176" s="98">
        <v>4249.3031831250009</v>
      </c>
      <c r="K176" s="98">
        <v>4340</v>
      </c>
      <c r="L176" s="98">
        <v>4340</v>
      </c>
      <c r="M176" s="98">
        <v>4340</v>
      </c>
      <c r="N176" s="98">
        <v>0</v>
      </c>
      <c r="O176" s="98">
        <v>0</v>
      </c>
      <c r="P176" s="98">
        <v>21518.606366250002</v>
      </c>
    </row>
    <row r="177" spans="2:16">
      <c r="C177" s="98" t="s">
        <v>197</v>
      </c>
      <c r="D177" s="98">
        <v>0</v>
      </c>
      <c r="E177" s="98">
        <v>0</v>
      </c>
      <c r="F177" s="98">
        <v>0</v>
      </c>
      <c r="G177" s="98">
        <v>0</v>
      </c>
      <c r="H177" s="98">
        <v>0</v>
      </c>
      <c r="I177" s="98">
        <v>1335.4952861250003</v>
      </c>
      <c r="J177" s="98">
        <v>1335.4952861250003</v>
      </c>
      <c r="K177" s="98">
        <v>1364</v>
      </c>
      <c r="L177" s="98">
        <v>1364</v>
      </c>
      <c r="M177" s="98">
        <v>1364</v>
      </c>
      <c r="N177" s="98">
        <v>0</v>
      </c>
      <c r="O177" s="98">
        <v>0</v>
      </c>
      <c r="P177" s="98">
        <v>6762.9905722500007</v>
      </c>
    </row>
    <row r="178" spans="2:16">
      <c r="C178" s="98" t="s">
        <v>198</v>
      </c>
      <c r="D178" s="98">
        <v>0</v>
      </c>
      <c r="E178" s="98">
        <v>0</v>
      </c>
      <c r="F178" s="98">
        <v>0</v>
      </c>
      <c r="G178" s="98">
        <v>0</v>
      </c>
      <c r="H178" s="98">
        <v>0</v>
      </c>
      <c r="I178" s="98">
        <v>2913.8078970000006</v>
      </c>
      <c r="J178" s="98">
        <v>2913.8078970000006</v>
      </c>
      <c r="K178" s="98">
        <v>2976</v>
      </c>
      <c r="L178" s="98">
        <v>2976</v>
      </c>
      <c r="M178" s="98">
        <v>2976</v>
      </c>
      <c r="N178" s="98">
        <v>0</v>
      </c>
      <c r="O178" s="98">
        <v>0</v>
      </c>
      <c r="P178" s="98">
        <v>14755.615794000001</v>
      </c>
    </row>
    <row r="179" spans="2:16">
      <c r="B179" s="98" t="s">
        <v>155</v>
      </c>
      <c r="C179" s="98" t="s">
        <v>194</v>
      </c>
      <c r="D179" s="98">
        <v>3.5</v>
      </c>
    </row>
    <row r="180" spans="2:16">
      <c r="C180" s="98" t="s">
        <v>195</v>
      </c>
      <c r="D180" s="98">
        <v>1.1000000000000001</v>
      </c>
    </row>
    <row r="181" spans="2:16">
      <c r="C181" s="98" t="s">
        <v>196</v>
      </c>
      <c r="D181" s="98">
        <v>0</v>
      </c>
      <c r="E181" s="98">
        <v>0</v>
      </c>
      <c r="F181" s="98">
        <v>0</v>
      </c>
      <c r="G181" s="98">
        <v>0</v>
      </c>
      <c r="H181" s="98">
        <v>0</v>
      </c>
      <c r="I181" s="98">
        <v>1214.0866237500002</v>
      </c>
      <c r="J181" s="98">
        <v>1214.0866237500002</v>
      </c>
      <c r="K181" s="98">
        <v>1240</v>
      </c>
      <c r="L181" s="98">
        <v>1240</v>
      </c>
      <c r="M181" s="98">
        <v>1240</v>
      </c>
      <c r="N181" s="98">
        <v>0</v>
      </c>
      <c r="O181" s="98">
        <v>0</v>
      </c>
      <c r="P181" s="98">
        <v>6148.1732475000008</v>
      </c>
    </row>
    <row r="182" spans="2:16">
      <c r="C182" s="98" t="s">
        <v>23</v>
      </c>
      <c r="D182" s="98">
        <v>0</v>
      </c>
      <c r="E182" s="98">
        <v>0</v>
      </c>
      <c r="F182" s="98">
        <v>0</v>
      </c>
      <c r="G182" s="98">
        <v>0</v>
      </c>
      <c r="H182" s="98">
        <v>0</v>
      </c>
      <c r="I182" s="98">
        <v>4249.3031831250009</v>
      </c>
      <c r="J182" s="98">
        <v>4249.3031831250009</v>
      </c>
      <c r="K182" s="98">
        <v>4340</v>
      </c>
      <c r="L182" s="98">
        <v>4340</v>
      </c>
      <c r="M182" s="98">
        <v>4340</v>
      </c>
      <c r="N182" s="98">
        <v>0</v>
      </c>
      <c r="O182" s="98">
        <v>0</v>
      </c>
      <c r="P182" s="98">
        <v>21518.606366250002</v>
      </c>
    </row>
    <row r="183" spans="2:16">
      <c r="C183" s="98" t="s">
        <v>197</v>
      </c>
      <c r="D183" s="98">
        <v>0</v>
      </c>
      <c r="E183" s="98">
        <v>0</v>
      </c>
      <c r="F183" s="98">
        <v>0</v>
      </c>
      <c r="G183" s="98">
        <v>0</v>
      </c>
      <c r="H183" s="98">
        <v>0</v>
      </c>
      <c r="I183" s="98">
        <v>1335.4952861250003</v>
      </c>
      <c r="J183" s="98">
        <v>1335.4952861250003</v>
      </c>
      <c r="K183" s="98">
        <v>1364</v>
      </c>
      <c r="L183" s="98">
        <v>1364</v>
      </c>
      <c r="M183" s="98">
        <v>1364</v>
      </c>
      <c r="N183" s="98">
        <v>0</v>
      </c>
      <c r="O183" s="98">
        <v>0</v>
      </c>
      <c r="P183" s="98">
        <v>6762.9905722500007</v>
      </c>
    </row>
    <row r="184" spans="2:16">
      <c r="C184" s="98" t="s">
        <v>198</v>
      </c>
      <c r="D184" s="98">
        <v>0</v>
      </c>
      <c r="E184" s="98">
        <v>0</v>
      </c>
      <c r="F184" s="98">
        <v>0</v>
      </c>
      <c r="G184" s="98">
        <v>0</v>
      </c>
      <c r="H184" s="98">
        <v>0</v>
      </c>
      <c r="I184" s="98">
        <v>2913.8078970000006</v>
      </c>
      <c r="J184" s="98">
        <v>2913.8078970000006</v>
      </c>
      <c r="K184" s="98">
        <v>2976</v>
      </c>
      <c r="L184" s="98">
        <v>2976</v>
      </c>
      <c r="M184" s="98">
        <v>2976</v>
      </c>
      <c r="N184" s="98">
        <v>0</v>
      </c>
      <c r="O184" s="98">
        <v>0</v>
      </c>
      <c r="P184" s="98">
        <v>14755.615794000001</v>
      </c>
    </row>
    <row r="185" spans="2:16">
      <c r="B185" s="98" t="s">
        <v>156</v>
      </c>
      <c r="C185" s="98" t="s">
        <v>194</v>
      </c>
      <c r="D185" s="98">
        <v>3.5</v>
      </c>
    </row>
    <row r="186" spans="2:16">
      <c r="C186" s="98" t="s">
        <v>195</v>
      </c>
      <c r="D186" s="98">
        <v>1.1000000000000001</v>
      </c>
    </row>
    <row r="187" spans="2:16">
      <c r="C187" s="98" t="s">
        <v>196</v>
      </c>
      <c r="D187" s="98">
        <v>0</v>
      </c>
      <c r="E187" s="98">
        <v>0</v>
      </c>
      <c r="F187" s="98">
        <v>0</v>
      </c>
      <c r="G187" s="98">
        <v>0</v>
      </c>
      <c r="H187" s="98">
        <v>0</v>
      </c>
      <c r="I187" s="98">
        <v>1214.0866237500002</v>
      </c>
      <c r="J187" s="98">
        <v>1214.0866237500002</v>
      </c>
      <c r="K187" s="98">
        <v>1240</v>
      </c>
      <c r="L187" s="98">
        <v>1240</v>
      </c>
      <c r="M187" s="98">
        <v>1240</v>
      </c>
      <c r="N187" s="98">
        <v>0</v>
      </c>
      <c r="O187" s="98">
        <v>0</v>
      </c>
      <c r="P187" s="98">
        <v>6148.1732475000008</v>
      </c>
    </row>
    <row r="188" spans="2:16">
      <c r="C188" s="98" t="s">
        <v>23</v>
      </c>
      <c r="D188" s="98">
        <v>0</v>
      </c>
      <c r="E188" s="98">
        <v>0</v>
      </c>
      <c r="F188" s="98">
        <v>0</v>
      </c>
      <c r="G188" s="98">
        <v>0</v>
      </c>
      <c r="H188" s="98">
        <v>0</v>
      </c>
      <c r="I188" s="98">
        <v>4249.3031831250009</v>
      </c>
      <c r="J188" s="98">
        <v>4249.3031831250009</v>
      </c>
      <c r="K188" s="98">
        <v>4340</v>
      </c>
      <c r="L188" s="98">
        <v>4340</v>
      </c>
      <c r="M188" s="98">
        <v>4340</v>
      </c>
      <c r="N188" s="98">
        <v>0</v>
      </c>
      <c r="O188" s="98">
        <v>0</v>
      </c>
      <c r="P188" s="98">
        <v>21518.606366250002</v>
      </c>
    </row>
    <row r="189" spans="2:16">
      <c r="C189" s="98" t="s">
        <v>197</v>
      </c>
      <c r="D189" s="98">
        <v>0</v>
      </c>
      <c r="E189" s="98">
        <v>0</v>
      </c>
      <c r="F189" s="98">
        <v>0</v>
      </c>
      <c r="G189" s="98">
        <v>0</v>
      </c>
      <c r="H189" s="98">
        <v>0</v>
      </c>
      <c r="I189" s="98">
        <v>1335.4952861250003</v>
      </c>
      <c r="J189" s="98">
        <v>1335.4952861250003</v>
      </c>
      <c r="K189" s="98">
        <v>1364</v>
      </c>
      <c r="L189" s="98">
        <v>1364</v>
      </c>
      <c r="M189" s="98">
        <v>1364</v>
      </c>
      <c r="N189" s="98">
        <v>0</v>
      </c>
      <c r="O189" s="98">
        <v>0</v>
      </c>
      <c r="P189" s="98">
        <v>6762.9905722500007</v>
      </c>
    </row>
    <row r="190" spans="2:16">
      <c r="C190" s="98" t="s">
        <v>198</v>
      </c>
      <c r="D190" s="98">
        <v>0</v>
      </c>
      <c r="E190" s="98">
        <v>0</v>
      </c>
      <c r="F190" s="98">
        <v>0</v>
      </c>
      <c r="G190" s="98">
        <v>0</v>
      </c>
      <c r="H190" s="98">
        <v>0</v>
      </c>
      <c r="I190" s="98">
        <v>2913.8078970000006</v>
      </c>
      <c r="J190" s="98">
        <v>2913.8078970000006</v>
      </c>
      <c r="K190" s="98">
        <v>2976</v>
      </c>
      <c r="L190" s="98">
        <v>2976</v>
      </c>
      <c r="M190" s="98">
        <v>2976</v>
      </c>
      <c r="N190" s="98">
        <v>0</v>
      </c>
      <c r="O190" s="98">
        <v>0</v>
      </c>
      <c r="P190" s="98">
        <v>14755.615794000001</v>
      </c>
    </row>
    <row r="191" spans="2:16">
      <c r="B191" s="98" t="s">
        <v>157</v>
      </c>
      <c r="C191" s="98" t="s">
        <v>194</v>
      </c>
      <c r="D191" s="98">
        <v>1.25</v>
      </c>
    </row>
    <row r="192" spans="2:16">
      <c r="C192" s="98" t="s">
        <v>195</v>
      </c>
      <c r="D192" s="98">
        <v>1.06</v>
      </c>
    </row>
    <row r="193" spans="2:16">
      <c r="C193" s="98" t="s">
        <v>196</v>
      </c>
      <c r="D193" s="98">
        <v>4690.2263942573163</v>
      </c>
      <c r="E193" s="98">
        <v>4690.2263942573163</v>
      </c>
      <c r="F193" s="98">
        <v>5848.9623720000018</v>
      </c>
      <c r="G193" s="98">
        <v>6049.1394658753707</v>
      </c>
      <c r="H193" s="98">
        <v>7057.3293768545991</v>
      </c>
      <c r="I193" s="98">
        <v>9073.709198813056</v>
      </c>
      <c r="J193" s="98">
        <v>9073.709198813056</v>
      </c>
      <c r="K193" s="98">
        <v>11446.738131699847</v>
      </c>
      <c r="L193" s="98">
        <v>11446.738131699847</v>
      </c>
      <c r="M193" s="98">
        <v>10256.201975850716</v>
      </c>
      <c r="N193" s="98">
        <v>6049.1394658753707</v>
      </c>
      <c r="O193" s="98">
        <v>6049.1394658753707</v>
      </c>
      <c r="P193" s="98">
        <v>91731.259571871866</v>
      </c>
    </row>
    <row r="194" spans="2:16">
      <c r="C194" s="98" t="s">
        <v>23</v>
      </c>
      <c r="D194" s="98">
        <v>5862.7829928216452</v>
      </c>
      <c r="E194" s="98">
        <v>5862.7829928216452</v>
      </c>
      <c r="F194" s="98">
        <v>7311.2029650000022</v>
      </c>
      <c r="G194" s="98">
        <v>7561.4243323442133</v>
      </c>
      <c r="H194" s="98">
        <v>8821.6617210682489</v>
      </c>
      <c r="I194" s="98">
        <v>11342.13649851632</v>
      </c>
      <c r="J194" s="98">
        <v>11342.13649851632</v>
      </c>
      <c r="K194" s="98">
        <v>14308.42266462481</v>
      </c>
      <c r="L194" s="98">
        <v>14308.42266462481</v>
      </c>
      <c r="M194" s="98">
        <v>12820.252469813395</v>
      </c>
      <c r="N194" s="98">
        <v>7561.4243323442133</v>
      </c>
      <c r="O194" s="98">
        <v>7561.4243323442133</v>
      </c>
      <c r="P194" s="98">
        <v>114664.07446483985</v>
      </c>
    </row>
    <row r="195" spans="2:16">
      <c r="C195" s="98" t="s">
        <v>197</v>
      </c>
      <c r="D195" s="98">
        <v>5440.6626173384866</v>
      </c>
      <c r="E195" s="98">
        <v>5440.6626173384866</v>
      </c>
      <c r="F195" s="98">
        <v>6199.9001143200021</v>
      </c>
      <c r="G195" s="98">
        <v>6412.0878338278935</v>
      </c>
      <c r="H195" s="98">
        <v>7480.769139465875</v>
      </c>
      <c r="I195" s="98">
        <v>9618.1317507418407</v>
      </c>
      <c r="J195" s="98">
        <v>9618.1317507418407</v>
      </c>
      <c r="K195" s="98">
        <v>12133.542419601839</v>
      </c>
      <c r="L195" s="98">
        <v>12133.542419601839</v>
      </c>
      <c r="M195" s="98">
        <v>10871.57409440176</v>
      </c>
      <c r="N195" s="98">
        <v>6412.0878338278935</v>
      </c>
      <c r="O195" s="98">
        <v>6412.0878338278935</v>
      </c>
      <c r="P195" s="98">
        <v>98173.180425035665</v>
      </c>
    </row>
    <row r="196" spans="2:16">
      <c r="C196" s="98" t="s">
        <v>198</v>
      </c>
      <c r="D196" s="98">
        <v>422.12037548315857</v>
      </c>
      <c r="E196" s="98">
        <v>422.12037548315857</v>
      </c>
      <c r="F196" s="98">
        <v>1111.3028506800001</v>
      </c>
      <c r="G196" s="98">
        <v>1149.3364985163198</v>
      </c>
      <c r="H196" s="98">
        <v>1340.8925816023739</v>
      </c>
      <c r="I196" s="98">
        <v>1724.0047477744793</v>
      </c>
      <c r="J196" s="98">
        <v>1724.0047477744793</v>
      </c>
      <c r="K196" s="98">
        <v>2174.8802450229705</v>
      </c>
      <c r="L196" s="98">
        <v>2174.8802450229705</v>
      </c>
      <c r="M196" s="98">
        <v>1948.678375411635</v>
      </c>
      <c r="N196" s="98">
        <v>1149.3364985163198</v>
      </c>
      <c r="O196" s="98">
        <v>1149.3364985163198</v>
      </c>
      <c r="P196" s="98">
        <v>16490.894039804185</v>
      </c>
    </row>
    <row r="197" spans="2:16">
      <c r="B197" s="98" t="s">
        <v>158</v>
      </c>
      <c r="C197" s="98" t="s">
        <v>194</v>
      </c>
      <c r="D197" s="98">
        <v>1.28</v>
      </c>
    </row>
    <row r="198" spans="2:16">
      <c r="C198" s="98" t="s">
        <v>195</v>
      </c>
      <c r="D198" s="98">
        <v>1.06</v>
      </c>
    </row>
    <row r="199" spans="2:16">
      <c r="C199" s="98" t="s">
        <v>196</v>
      </c>
      <c r="D199" s="98">
        <v>4983.616915647427</v>
      </c>
      <c r="E199" s="98">
        <v>4983.616915647427</v>
      </c>
      <c r="F199" s="98">
        <v>6182.4985419339801</v>
      </c>
      <c r="G199" s="98">
        <v>7212.9149655896417</v>
      </c>
      <c r="H199" s="98">
        <v>8243.3313892453043</v>
      </c>
      <c r="I199" s="98">
        <v>10304.164236556633</v>
      </c>
      <c r="J199" s="98">
        <v>10304.164236556633</v>
      </c>
      <c r="K199" s="98">
        <v>12541.645124079389</v>
      </c>
      <c r="L199" s="98">
        <v>12541.645124079389</v>
      </c>
      <c r="M199" s="98">
        <v>11334.580660212294</v>
      </c>
      <c r="N199" s="98">
        <v>7212.9149655896417</v>
      </c>
      <c r="O199" s="98">
        <v>7212.9149655896417</v>
      </c>
      <c r="P199" s="98">
        <v>103058.00804072741</v>
      </c>
    </row>
    <row r="200" spans="2:16">
      <c r="C200" s="98" t="s">
        <v>23</v>
      </c>
      <c r="D200" s="98">
        <v>6379.0296520287066</v>
      </c>
      <c r="E200" s="98">
        <v>6379.0296520287066</v>
      </c>
      <c r="F200" s="98">
        <v>7913.5981336754949</v>
      </c>
      <c r="G200" s="98">
        <v>9232.5311559547408</v>
      </c>
      <c r="H200" s="98">
        <v>10551.46417823399</v>
      </c>
      <c r="I200" s="98">
        <v>13189.330222792491</v>
      </c>
      <c r="J200" s="98">
        <v>13189.330222792491</v>
      </c>
      <c r="K200" s="98">
        <v>16053.305758821618</v>
      </c>
      <c r="L200" s="98">
        <v>16053.305758821618</v>
      </c>
      <c r="M200" s="98">
        <v>14508.263245071736</v>
      </c>
      <c r="N200" s="98">
        <v>9232.5311559547408</v>
      </c>
      <c r="O200" s="98">
        <v>9232.5311559547408</v>
      </c>
      <c r="P200" s="98">
        <v>131914.25029213107</v>
      </c>
    </row>
    <row r="201" spans="2:16">
      <c r="C201" s="98" t="s">
        <v>197</v>
      </c>
      <c r="D201" s="98">
        <v>5780.9956221510147</v>
      </c>
      <c r="E201" s="98">
        <v>5780.9956221510147</v>
      </c>
      <c r="F201" s="98">
        <v>6553.4484544500192</v>
      </c>
      <c r="G201" s="98">
        <v>7645.6898635250209</v>
      </c>
      <c r="H201" s="98">
        <v>8737.9312726000226</v>
      </c>
      <c r="I201" s="98">
        <v>10922.414090750031</v>
      </c>
      <c r="J201" s="98">
        <v>10922.414090750031</v>
      </c>
      <c r="K201" s="98">
        <v>13294.143831524152</v>
      </c>
      <c r="L201" s="98">
        <v>13294.143831524152</v>
      </c>
      <c r="M201" s="98">
        <v>12014.655499825032</v>
      </c>
      <c r="N201" s="98">
        <v>7645.6898635250209</v>
      </c>
      <c r="O201" s="98">
        <v>7645.6898635250209</v>
      </c>
      <c r="P201" s="98">
        <v>110238.21190630055</v>
      </c>
    </row>
    <row r="202" spans="2:16">
      <c r="C202" s="98" t="s">
        <v>198</v>
      </c>
      <c r="D202" s="98">
        <v>598.03402987769186</v>
      </c>
      <c r="E202" s="98">
        <v>598.03402987769186</v>
      </c>
      <c r="F202" s="98">
        <v>1360.1496792254757</v>
      </c>
      <c r="G202" s="98">
        <v>1586.8412924297199</v>
      </c>
      <c r="H202" s="98">
        <v>1813.5329056339669</v>
      </c>
      <c r="I202" s="98">
        <v>2266.9161320424591</v>
      </c>
      <c r="J202" s="98">
        <v>2266.9161320424591</v>
      </c>
      <c r="K202" s="98">
        <v>2759.1619272974658</v>
      </c>
      <c r="L202" s="98">
        <v>2759.1619272974658</v>
      </c>
      <c r="M202" s="98">
        <v>2493.6077452467034</v>
      </c>
      <c r="N202" s="98">
        <v>1586.8412924297199</v>
      </c>
      <c r="O202" s="98">
        <v>1586.8412924297199</v>
      </c>
      <c r="P202" s="98">
        <v>21676.038385830536</v>
      </c>
    </row>
    <row r="203" spans="2:16">
      <c r="B203" s="98" t="s">
        <v>159</v>
      </c>
      <c r="C203" s="98" t="s">
        <v>194</v>
      </c>
      <c r="D203" s="98">
        <v>1.25</v>
      </c>
    </row>
    <row r="204" spans="2:16">
      <c r="C204" s="98" t="s">
        <v>195</v>
      </c>
      <c r="D204" s="98">
        <v>1.0974999999999999</v>
      </c>
    </row>
    <row r="205" spans="2:16">
      <c r="C205" s="98" t="s">
        <v>196</v>
      </c>
      <c r="D205" s="98">
        <v>0</v>
      </c>
      <c r="E205" s="98">
        <v>0</v>
      </c>
      <c r="F205" s="98">
        <v>22.064144999996643</v>
      </c>
      <c r="G205" s="98">
        <v>0</v>
      </c>
      <c r="H205" s="98">
        <v>194.01767800000016</v>
      </c>
      <c r="I205" s="98">
        <v>77.740128749999712</v>
      </c>
      <c r="J205" s="98">
        <v>77.740128749999712</v>
      </c>
      <c r="K205" s="98">
        <v>0</v>
      </c>
      <c r="L205" s="98">
        <v>0</v>
      </c>
      <c r="M205" s="98">
        <v>0</v>
      </c>
      <c r="N205" s="98">
        <v>0</v>
      </c>
      <c r="O205" s="98">
        <v>0</v>
      </c>
      <c r="P205" s="98">
        <v>371.56208049999623</v>
      </c>
    </row>
    <row r="206" spans="2:16">
      <c r="C206" s="98" t="s">
        <v>23</v>
      </c>
      <c r="D206" s="98">
        <v>0</v>
      </c>
      <c r="E206" s="98">
        <v>0</v>
      </c>
      <c r="F206" s="98">
        <v>27.580181249995803</v>
      </c>
      <c r="G206" s="98">
        <v>0</v>
      </c>
      <c r="H206" s="98">
        <v>242.5220975000002</v>
      </c>
      <c r="I206" s="98">
        <v>97.175160937499641</v>
      </c>
      <c r="J206" s="98">
        <v>97.175160937499641</v>
      </c>
      <c r="K206" s="98">
        <v>0</v>
      </c>
      <c r="L206" s="98">
        <v>0</v>
      </c>
      <c r="M206" s="98">
        <v>0</v>
      </c>
      <c r="N206" s="98">
        <v>0</v>
      </c>
      <c r="O206" s="98">
        <v>0</v>
      </c>
      <c r="P206" s="98">
        <v>464.45260062499528</v>
      </c>
    </row>
    <row r="207" spans="2:16">
      <c r="C207" s="98" t="s">
        <v>197</v>
      </c>
      <c r="D207" s="98">
        <v>0</v>
      </c>
      <c r="E207" s="98">
        <v>0</v>
      </c>
      <c r="F207" s="98">
        <v>24.215399137496313</v>
      </c>
      <c r="G207" s="98">
        <v>0</v>
      </c>
      <c r="H207" s="98">
        <v>212.93440160500015</v>
      </c>
      <c r="I207" s="98">
        <v>85.319791303124674</v>
      </c>
      <c r="J207" s="98">
        <v>85.319791303124674</v>
      </c>
      <c r="K207" s="98">
        <v>0</v>
      </c>
      <c r="L207" s="98">
        <v>0</v>
      </c>
      <c r="M207" s="98">
        <v>0</v>
      </c>
      <c r="N207" s="98">
        <v>0</v>
      </c>
      <c r="O207" s="98">
        <v>0</v>
      </c>
      <c r="P207" s="98">
        <v>407.78938334874579</v>
      </c>
    </row>
    <row r="208" spans="2:16">
      <c r="C208" s="98" t="s">
        <v>198</v>
      </c>
      <c r="D208" s="98">
        <v>0</v>
      </c>
      <c r="E208" s="98">
        <v>0</v>
      </c>
      <c r="F208" s="98">
        <v>3.3647821124994906</v>
      </c>
      <c r="G208" s="98">
        <v>0</v>
      </c>
      <c r="H208" s="98">
        <v>29.587695895000053</v>
      </c>
      <c r="I208" s="98">
        <v>11.855369634374966</v>
      </c>
      <c r="J208" s="98">
        <v>11.855369634374966</v>
      </c>
      <c r="K208" s="98">
        <v>0</v>
      </c>
      <c r="L208" s="98">
        <v>0</v>
      </c>
      <c r="M208" s="98">
        <v>0</v>
      </c>
      <c r="N208" s="98">
        <v>0</v>
      </c>
      <c r="O208" s="98">
        <v>0</v>
      </c>
      <c r="P208" s="98">
        <v>56.663217276249476</v>
      </c>
    </row>
    <row r="210" spans="2:16">
      <c r="C210" s="98" t="s">
        <v>199</v>
      </c>
      <c r="D210" s="98">
        <v>23146.43940523138</v>
      </c>
      <c r="E210" s="98">
        <v>23146.43940523138</v>
      </c>
      <c r="F210" s="98">
        <v>26558.281044189578</v>
      </c>
      <c r="G210" s="98">
        <v>28225.737762438901</v>
      </c>
      <c r="H210" s="98">
        <v>36473.94305940262</v>
      </c>
      <c r="I210" s="98">
        <v>58445.057690142559</v>
      </c>
      <c r="J210" s="98">
        <v>58445.057690142559</v>
      </c>
      <c r="K210" s="98">
        <v>65848.195400329496</v>
      </c>
      <c r="L210" s="98">
        <v>65848.195400329496</v>
      </c>
      <c r="M210" s="98">
        <v>62485.385170633097</v>
      </c>
      <c r="N210" s="98">
        <v>28225.737762438901</v>
      </c>
      <c r="O210" s="98">
        <v>28225.737762438901</v>
      </c>
      <c r="P210" s="98">
        <v>505074.20755294885</v>
      </c>
    </row>
    <row r="211" spans="2:16">
      <c r="C211" s="98" t="s">
        <v>200</v>
      </c>
      <c r="D211" s="98">
        <v>14384</v>
      </c>
      <c r="E211" s="98">
        <v>14384</v>
      </c>
      <c r="F211" s="98">
        <v>15980.82481206014</v>
      </c>
      <c r="G211" s="98">
        <v>17284.969454788879</v>
      </c>
      <c r="H211" s="98">
        <v>21308.848762549729</v>
      </c>
      <c r="I211" s="98">
        <v>30721.868160334561</v>
      </c>
      <c r="J211" s="98">
        <v>30721.868160334561</v>
      </c>
      <c r="K211" s="98">
        <v>36000.060381866846</v>
      </c>
      <c r="L211" s="98">
        <v>36000.060381866846</v>
      </c>
      <c r="M211" s="98">
        <v>33364.996576006437</v>
      </c>
      <c r="N211" s="98">
        <v>17284.969454788879</v>
      </c>
      <c r="O211" s="98">
        <v>17284.969454788879</v>
      </c>
      <c r="P211" s="98">
        <v>284721.43559938576</v>
      </c>
    </row>
    <row r="212" spans="2:16">
      <c r="C212" s="98" t="s">
        <v>201</v>
      </c>
      <c r="D212" s="98">
        <v>8762.4394052313837</v>
      </c>
      <c r="E212" s="98">
        <v>8762.4394052313837</v>
      </c>
      <c r="F212" s="98">
        <v>10577.456232129438</v>
      </c>
      <c r="G212" s="98">
        <v>10940.768307650025</v>
      </c>
      <c r="H212" s="98">
        <v>15165.094296852893</v>
      </c>
      <c r="I212" s="98">
        <v>27723.189529807998</v>
      </c>
      <c r="J212" s="98">
        <v>27723.189529807998</v>
      </c>
      <c r="K212" s="98">
        <v>29848.135018462643</v>
      </c>
      <c r="L212" s="98">
        <v>29848.135018462643</v>
      </c>
      <c r="M212" s="98">
        <v>29120.388594626656</v>
      </c>
      <c r="N212" s="98">
        <v>10940.768307650025</v>
      </c>
      <c r="O212" s="98">
        <v>10940.768307650025</v>
      </c>
      <c r="P212" s="98">
        <v>220352.77195356309</v>
      </c>
    </row>
    <row r="214" spans="2:16">
      <c r="B214" s="98" t="s">
        <v>22</v>
      </c>
      <c r="C214" s="98" t="s">
        <v>211</v>
      </c>
    </row>
    <row r="215" spans="2:16">
      <c r="C215" s="98" t="s">
        <v>181</v>
      </c>
      <c r="D215" s="98">
        <v>10833.333333333334</v>
      </c>
      <c r="E215" s="98">
        <v>10833.333333333334</v>
      </c>
      <c r="F215" s="98">
        <v>10833.333333333334</v>
      </c>
      <c r="G215" s="98">
        <v>10833.333333333334</v>
      </c>
      <c r="H215" s="98">
        <v>10833.333333333334</v>
      </c>
      <c r="I215" s="98">
        <v>10833.333333333334</v>
      </c>
      <c r="J215" s="98">
        <v>10833.333333333334</v>
      </c>
      <c r="K215" s="98">
        <v>10833.333333333334</v>
      </c>
      <c r="L215" s="98">
        <v>10833.333333333334</v>
      </c>
      <c r="M215" s="98">
        <v>10833.333333333334</v>
      </c>
      <c r="N215" s="98">
        <v>10833.333333333334</v>
      </c>
      <c r="O215" s="98">
        <v>10833.333333333334</v>
      </c>
      <c r="P215" s="98">
        <v>129999.99999999999</v>
      </c>
    </row>
    <row r="216" spans="2:16">
      <c r="C216" s="98" t="s">
        <v>182</v>
      </c>
      <c r="D216" s="98">
        <v>2791.6666666666665</v>
      </c>
      <c r="E216" s="98">
        <v>2791.6666666666665</v>
      </c>
      <c r="F216" s="98">
        <v>2791.6666666666665</v>
      </c>
      <c r="G216" s="98">
        <v>2791.6666666666665</v>
      </c>
      <c r="H216" s="98">
        <v>2791.6666666666665</v>
      </c>
      <c r="I216" s="98">
        <v>2791.6666666666665</v>
      </c>
      <c r="J216" s="98">
        <v>2791.6666666666665</v>
      </c>
      <c r="K216" s="98">
        <v>2791.6666666666665</v>
      </c>
      <c r="L216" s="98">
        <v>2791.6666666666665</v>
      </c>
      <c r="M216" s="98">
        <v>2791.6666666666665</v>
      </c>
      <c r="N216" s="98">
        <v>2791.6666666666665</v>
      </c>
      <c r="O216" s="98">
        <v>2791.6666666666665</v>
      </c>
      <c r="P216" s="98">
        <v>33500.000000000007</v>
      </c>
    </row>
    <row r="217" spans="2:16">
      <c r="C217" s="98" t="s">
        <v>183</v>
      </c>
      <c r="D217" s="98">
        <v>3166.6666666666665</v>
      </c>
      <c r="E217" s="98">
        <v>3166.6666666666665</v>
      </c>
      <c r="F217" s="98">
        <v>3166.6666666666665</v>
      </c>
      <c r="G217" s="98">
        <v>3166.6666666666665</v>
      </c>
      <c r="H217" s="98">
        <v>3166.6666666666665</v>
      </c>
      <c r="I217" s="98">
        <v>3166.6666666666665</v>
      </c>
      <c r="J217" s="98">
        <v>3166.6666666666665</v>
      </c>
      <c r="K217" s="98">
        <v>3166.6666666666665</v>
      </c>
      <c r="L217" s="98">
        <v>3166.6666666666665</v>
      </c>
      <c r="M217" s="98">
        <v>3166.6666666666665</v>
      </c>
      <c r="N217" s="98">
        <v>3166.6666666666665</v>
      </c>
      <c r="O217" s="98">
        <v>3166.6666666666665</v>
      </c>
      <c r="P217" s="98">
        <v>38000</v>
      </c>
    </row>
    <row r="218" spans="2:16">
      <c r="C218" s="98" t="s">
        <v>184</v>
      </c>
      <c r="D218" s="98">
        <v>416.66666666666669</v>
      </c>
      <c r="E218" s="98">
        <v>416.66666666666669</v>
      </c>
      <c r="F218" s="98">
        <v>416.66666666666669</v>
      </c>
      <c r="G218" s="98">
        <v>416.66666666666669</v>
      </c>
      <c r="H218" s="98">
        <v>416.66666666666669</v>
      </c>
      <c r="I218" s="98">
        <v>416.66666666666669</v>
      </c>
      <c r="J218" s="98">
        <v>416.66666666666669</v>
      </c>
      <c r="K218" s="98">
        <v>416.66666666666669</v>
      </c>
      <c r="L218" s="98">
        <v>416.66666666666669</v>
      </c>
      <c r="M218" s="98">
        <v>416.66666666666669</v>
      </c>
      <c r="N218" s="98">
        <v>416.66666666666669</v>
      </c>
      <c r="O218" s="98">
        <v>416.66666666666669</v>
      </c>
      <c r="P218" s="98">
        <v>5000</v>
      </c>
    </row>
    <row r="220" spans="2:16">
      <c r="C220" s="98" t="s">
        <v>204</v>
      </c>
      <c r="D220" s="98">
        <v>1603.2599563249066</v>
      </c>
      <c r="E220" s="98">
        <v>1603.2599563249066</v>
      </c>
      <c r="F220" s="98">
        <v>1603.2599563249066</v>
      </c>
      <c r="G220" s="98">
        <v>1603.2599563249066</v>
      </c>
      <c r="H220" s="98">
        <v>1603.2599563249066</v>
      </c>
      <c r="I220" s="98">
        <v>1603.2599563249066</v>
      </c>
      <c r="J220" s="98">
        <v>1603.2599563249066</v>
      </c>
      <c r="K220" s="98">
        <v>1603.2599563249066</v>
      </c>
      <c r="L220" s="98">
        <v>1603.2599563249066</v>
      </c>
      <c r="M220" s="98">
        <v>1603.2599563249066</v>
      </c>
      <c r="N220" s="98">
        <v>1603.2599563249066</v>
      </c>
      <c r="O220" s="98">
        <v>1603.2599563249066</v>
      </c>
      <c r="P220" s="98">
        <v>19239.119475898875</v>
      </c>
    </row>
    <row r="222" spans="2:16">
      <c r="C222" s="98" t="s">
        <v>6</v>
      </c>
      <c r="D222" s="98">
        <v>19999.093289658242</v>
      </c>
      <c r="E222" s="98">
        <v>19999.093289658242</v>
      </c>
      <c r="F222" s="98">
        <v>19999.093289658242</v>
      </c>
      <c r="G222" s="98">
        <v>19999.093289658242</v>
      </c>
      <c r="H222" s="98">
        <v>19999.093289658242</v>
      </c>
      <c r="I222" s="98">
        <v>19999.093289658242</v>
      </c>
      <c r="J222" s="98">
        <v>19999.093289658242</v>
      </c>
      <c r="K222" s="98">
        <v>19999.093289658242</v>
      </c>
      <c r="L222" s="98">
        <v>19999.093289658242</v>
      </c>
      <c r="M222" s="98">
        <v>19999.093289658242</v>
      </c>
      <c r="N222" s="98">
        <v>19999.093289658242</v>
      </c>
      <c r="O222" s="98">
        <v>19999.093289658242</v>
      </c>
      <c r="P222" s="98">
        <v>239989.11947589894</v>
      </c>
    </row>
    <row r="224" spans="2:16">
      <c r="C224" s="98" t="s">
        <v>20</v>
      </c>
      <c r="D224" s="98">
        <v>1187.5</v>
      </c>
      <c r="E224" s="98">
        <v>1187.5</v>
      </c>
      <c r="F224" s="98">
        <v>1187.5</v>
      </c>
      <c r="G224" s="98">
        <v>1187.5</v>
      </c>
      <c r="H224" s="98">
        <v>1187.5</v>
      </c>
      <c r="I224" s="98">
        <v>1187.5</v>
      </c>
      <c r="J224" s="98">
        <v>1187.5</v>
      </c>
      <c r="K224" s="98">
        <v>1187.5</v>
      </c>
      <c r="L224" s="98">
        <v>1187.5</v>
      </c>
      <c r="M224" s="98">
        <v>1187.5</v>
      </c>
      <c r="N224" s="98">
        <v>1187.5</v>
      </c>
      <c r="O224" s="98">
        <v>1187.5</v>
      </c>
      <c r="P224" s="98">
        <v>14250</v>
      </c>
    </row>
    <row r="225" spans="1:16">
      <c r="C225" s="98" t="s">
        <v>205</v>
      </c>
      <c r="D225" s="98">
        <v>-11236.653884426858</v>
      </c>
      <c r="E225" s="98">
        <v>-11236.653884426858</v>
      </c>
      <c r="F225" s="98">
        <v>-9421.6370575288038</v>
      </c>
      <c r="G225" s="98">
        <v>-9058.3249820082165</v>
      </c>
      <c r="H225" s="98">
        <v>-4833.9989928053492</v>
      </c>
      <c r="I225" s="98">
        <v>7724.0962401497563</v>
      </c>
      <c r="J225" s="98">
        <v>7724.0962401497563</v>
      </c>
      <c r="K225" s="98">
        <v>9849.0417288044009</v>
      </c>
      <c r="L225" s="98">
        <v>9849.0417288044009</v>
      </c>
      <c r="M225" s="98">
        <v>9121.2953049684147</v>
      </c>
      <c r="N225" s="98">
        <v>-9058.3249820082165</v>
      </c>
      <c r="O225" s="98">
        <v>-9058.3249820082165</v>
      </c>
      <c r="P225" s="98">
        <v>-19636.347522335778</v>
      </c>
    </row>
    <row r="226" spans="1:16">
      <c r="C226" s="98" t="s">
        <v>206</v>
      </c>
      <c r="D226" s="98">
        <v>0.35</v>
      </c>
    </row>
    <row r="227" spans="1:16">
      <c r="C227" s="98" t="s">
        <v>207</v>
      </c>
      <c r="D227" s="98">
        <v>-11236.653884426858</v>
      </c>
      <c r="E227" s="98">
        <v>-22473.307768853716</v>
      </c>
      <c r="F227" s="98">
        <v>-31894.944826382518</v>
      </c>
      <c r="G227" s="98">
        <v>-40953.269808390731</v>
      </c>
      <c r="H227" s="98">
        <v>-45787.268801196078</v>
      </c>
      <c r="I227" s="98">
        <v>-38063.172561046318</v>
      </c>
      <c r="J227" s="98">
        <v>-30339.076320896562</v>
      </c>
      <c r="K227" s="98">
        <v>-20490.034592092161</v>
      </c>
      <c r="L227" s="98">
        <v>-10640.99286328776</v>
      </c>
      <c r="M227" s="98">
        <v>-1519.6975583193453</v>
      </c>
      <c r="N227" s="98">
        <v>-10578.022540327562</v>
      </c>
      <c r="O227" s="98">
        <v>-19636.347522335778</v>
      </c>
    </row>
    <row r="228" spans="1:16">
      <c r="C228" s="98" t="s">
        <v>208</v>
      </c>
      <c r="D228" s="98">
        <v>-11236.653899999999</v>
      </c>
      <c r="E228" s="98">
        <v>-11236.653899999999</v>
      </c>
      <c r="F228" s="98">
        <v>-9421.6370999999999</v>
      </c>
      <c r="G228" s="98">
        <v>-9058.3250000000007</v>
      </c>
      <c r="H228" s="98">
        <v>-4833.9989999999998</v>
      </c>
      <c r="I228" s="98">
        <v>7724.0962</v>
      </c>
      <c r="J228" s="98">
        <v>7724.0962</v>
      </c>
      <c r="K228" s="98">
        <v>9849.0416999999998</v>
      </c>
      <c r="L228" s="98">
        <v>9849.0416999999998</v>
      </c>
      <c r="M228" s="98">
        <v>9121.2952999999998</v>
      </c>
      <c r="N228" s="98">
        <v>-9058.3250000000007</v>
      </c>
      <c r="O228" s="98">
        <v>-7870.8250000000007</v>
      </c>
      <c r="P228" s="98">
        <v>-18448.847799999996</v>
      </c>
    </row>
    <row r="229" spans="1:16">
      <c r="C229" s="98" t="s">
        <v>190</v>
      </c>
      <c r="D229" s="98" t="s">
        <v>1</v>
      </c>
      <c r="E229" s="98" t="s">
        <v>1</v>
      </c>
      <c r="F229" s="98" t="s">
        <v>1</v>
      </c>
      <c r="G229" s="98" t="s">
        <v>1</v>
      </c>
      <c r="H229" s="98" t="s">
        <v>1</v>
      </c>
      <c r="I229" s="98" t="s">
        <v>1</v>
      </c>
      <c r="J229" s="98" t="s">
        <v>1</v>
      </c>
      <c r="K229" s="98" t="s">
        <v>1</v>
      </c>
      <c r="L229" s="98" t="s">
        <v>1</v>
      </c>
      <c r="M229" s="98" t="s">
        <v>1</v>
      </c>
      <c r="N229" s="98" t="s">
        <v>1</v>
      </c>
      <c r="O229" s="98" t="s">
        <v>1</v>
      </c>
      <c r="P229" s="98" t="s">
        <v>1</v>
      </c>
    </row>
    <row r="230" spans="1:16">
      <c r="C230" s="98" t="s">
        <v>192</v>
      </c>
      <c r="D230" s="98" t="s">
        <v>138</v>
      </c>
      <c r="E230" s="98" t="s">
        <v>139</v>
      </c>
      <c r="F230" s="98" t="s">
        <v>140</v>
      </c>
      <c r="G230" s="98" t="s">
        <v>141</v>
      </c>
      <c r="H230" s="98" t="s">
        <v>142</v>
      </c>
      <c r="I230" s="98" t="s">
        <v>143</v>
      </c>
      <c r="J230" s="98" t="s">
        <v>144</v>
      </c>
      <c r="K230" s="98" t="s">
        <v>145</v>
      </c>
      <c r="L230" s="98" t="s">
        <v>146</v>
      </c>
      <c r="M230" s="98" t="s">
        <v>147</v>
      </c>
      <c r="N230" s="98" t="s">
        <v>148</v>
      </c>
      <c r="O230" s="98" t="s">
        <v>149</v>
      </c>
      <c r="P230" s="98" t="s">
        <v>193</v>
      </c>
    </row>
    <row r="232" spans="1:16">
      <c r="A232" s="98">
        <v>6</v>
      </c>
      <c r="B232" s="98" t="s">
        <v>212</v>
      </c>
    </row>
    <row r="233" spans="1:16">
      <c r="B233" s="98" t="s">
        <v>190</v>
      </c>
      <c r="D233" s="98" t="s">
        <v>2</v>
      </c>
      <c r="E233" s="98" t="s">
        <v>2</v>
      </c>
      <c r="F233" s="98" t="s">
        <v>2</v>
      </c>
      <c r="G233" s="98" t="s">
        <v>2</v>
      </c>
      <c r="H233" s="98" t="s">
        <v>2</v>
      </c>
      <c r="I233" s="98" t="s">
        <v>2</v>
      </c>
      <c r="J233" s="98" t="s">
        <v>2</v>
      </c>
      <c r="K233" s="98" t="s">
        <v>2</v>
      </c>
      <c r="L233" s="98" t="s">
        <v>2</v>
      </c>
      <c r="M233" s="98" t="s">
        <v>2</v>
      </c>
      <c r="N233" s="98" t="s">
        <v>2</v>
      </c>
      <c r="O233" s="98" t="s">
        <v>2</v>
      </c>
      <c r="P233" s="98" t="s">
        <v>2</v>
      </c>
    </row>
    <row r="234" spans="1:16">
      <c r="B234" s="98" t="s">
        <v>192</v>
      </c>
      <c r="D234" s="98" t="s">
        <v>138</v>
      </c>
      <c r="E234" s="98" t="s">
        <v>139</v>
      </c>
      <c r="F234" s="98" t="s">
        <v>140</v>
      </c>
      <c r="G234" s="98" t="s">
        <v>141</v>
      </c>
      <c r="H234" s="98" t="s">
        <v>142</v>
      </c>
      <c r="I234" s="98" t="s">
        <v>143</v>
      </c>
      <c r="J234" s="98" t="s">
        <v>144</v>
      </c>
      <c r="K234" s="98" t="s">
        <v>145</v>
      </c>
      <c r="L234" s="98" t="s">
        <v>146</v>
      </c>
      <c r="M234" s="98" t="s">
        <v>147</v>
      </c>
      <c r="N234" s="98" t="s">
        <v>148</v>
      </c>
      <c r="O234" s="98" t="s">
        <v>149</v>
      </c>
      <c r="P234" s="98" t="s">
        <v>213</v>
      </c>
    </row>
    <row r="235" spans="1:16">
      <c r="B235" s="98" t="s">
        <v>151</v>
      </c>
      <c r="C235" s="98" t="s">
        <v>194</v>
      </c>
      <c r="D235" s="98">
        <v>4</v>
      </c>
    </row>
    <row r="236" spans="1:16">
      <c r="C236" s="98" t="s">
        <v>195</v>
      </c>
      <c r="D236" s="98">
        <v>1.1599999999999999</v>
      </c>
    </row>
    <row r="237" spans="1:16">
      <c r="C237" s="98" t="s">
        <v>196</v>
      </c>
      <c r="D237" s="98">
        <v>1441.9646081617916</v>
      </c>
      <c r="E237" s="98">
        <v>1441.9646081617916</v>
      </c>
      <c r="F237" s="98">
        <v>1500.1127113337511</v>
      </c>
      <c r="G237" s="98">
        <v>1544.6034816247582</v>
      </c>
      <c r="H237" s="98">
        <v>1765.2611218568666</v>
      </c>
      <c r="I237" s="98">
        <v>2206.5764023210836</v>
      </c>
      <c r="J237" s="98">
        <v>2206.5764023210836</v>
      </c>
      <c r="K237" s="98">
        <v>2274.0199335548177</v>
      </c>
      <c r="L237" s="98">
        <v>2274.0199335548177</v>
      </c>
      <c r="M237" s="98">
        <v>2242.8596961572839</v>
      </c>
      <c r="N237" s="98">
        <v>1544.6034816247582</v>
      </c>
      <c r="O237" s="98">
        <v>1544.6034816247582</v>
      </c>
      <c r="P237" s="98">
        <v>21987.165862297563</v>
      </c>
    </row>
    <row r="238" spans="1:16">
      <c r="C238" s="98" t="s">
        <v>23</v>
      </c>
      <c r="D238" s="98">
        <v>5767.8584326471664</v>
      </c>
      <c r="E238" s="98">
        <v>5767.8584326471664</v>
      </c>
      <c r="F238" s="98">
        <v>6000.4508453350045</v>
      </c>
      <c r="G238" s="98">
        <v>6178.4139264990326</v>
      </c>
      <c r="H238" s="98">
        <v>7061.0444874274663</v>
      </c>
      <c r="I238" s="98">
        <v>8826.3056092843344</v>
      </c>
      <c r="J238" s="98">
        <v>8826.3056092843344</v>
      </c>
      <c r="K238" s="98">
        <v>9096.0797342192709</v>
      </c>
      <c r="L238" s="98">
        <v>9096.0797342192709</v>
      </c>
      <c r="M238" s="98">
        <v>8971.4387846291356</v>
      </c>
      <c r="N238" s="98">
        <v>6178.4139264990326</v>
      </c>
      <c r="O238" s="98">
        <v>6178.4139264990326</v>
      </c>
      <c r="P238" s="98">
        <v>87948.663449190251</v>
      </c>
    </row>
    <row r="239" spans="1:16">
      <c r="C239" s="98" t="s">
        <v>197</v>
      </c>
      <c r="D239" s="98">
        <v>1672.6789454676782</v>
      </c>
      <c r="E239" s="98">
        <v>1672.6789454676782</v>
      </c>
      <c r="F239" s="98">
        <v>1740.1307451471512</v>
      </c>
      <c r="G239" s="98">
        <v>1791.7400386847194</v>
      </c>
      <c r="H239" s="98">
        <v>2047.702901353965</v>
      </c>
      <c r="I239" s="98">
        <v>2559.6286266924567</v>
      </c>
      <c r="J239" s="98">
        <v>2559.6286266924567</v>
      </c>
      <c r="K239" s="98">
        <v>2637.8631229235884</v>
      </c>
      <c r="L239" s="98">
        <v>2637.8631229235884</v>
      </c>
      <c r="M239" s="98">
        <v>2601.7172475424491</v>
      </c>
      <c r="N239" s="98">
        <v>1791.7400386847194</v>
      </c>
      <c r="O239" s="98">
        <v>1791.7400386847194</v>
      </c>
      <c r="P239" s="98">
        <v>25505.112400265163</v>
      </c>
    </row>
    <row r="240" spans="1:16">
      <c r="C240" s="98" t="s">
        <v>198</v>
      </c>
      <c r="D240" s="98">
        <v>4095.1794871794882</v>
      </c>
      <c r="E240" s="98">
        <v>4095.1794871794882</v>
      </c>
      <c r="F240" s="98">
        <v>4260.3201001878533</v>
      </c>
      <c r="G240" s="98">
        <v>4386.6738878143133</v>
      </c>
      <c r="H240" s="98">
        <v>5013.3415860735013</v>
      </c>
      <c r="I240" s="98">
        <v>6266.6769825918782</v>
      </c>
      <c r="J240" s="98">
        <v>6266.6769825918782</v>
      </c>
      <c r="K240" s="98">
        <v>6458.216611295682</v>
      </c>
      <c r="L240" s="98">
        <v>6458.216611295682</v>
      </c>
      <c r="M240" s="98">
        <v>6369.721537086687</v>
      </c>
      <c r="N240" s="98">
        <v>4386.6738878143133</v>
      </c>
      <c r="O240" s="98">
        <v>4386.6738878143133</v>
      </c>
      <c r="P240" s="98">
        <v>62443.551048925088</v>
      </c>
    </row>
    <row r="241" spans="2:16">
      <c r="B241" s="98" t="s">
        <v>152</v>
      </c>
      <c r="C241" s="98" t="s">
        <v>194</v>
      </c>
      <c r="D241" s="98">
        <v>4</v>
      </c>
    </row>
    <row r="242" spans="2:16">
      <c r="C242" s="98" t="s">
        <v>195</v>
      </c>
      <c r="D242" s="98">
        <v>1.1000000000000001</v>
      </c>
    </row>
    <row r="243" spans="2:16">
      <c r="C243" s="98" t="s">
        <v>196</v>
      </c>
      <c r="D243" s="98">
        <v>1233.9238597813796</v>
      </c>
      <c r="E243" s="98">
        <v>1233.9238597813796</v>
      </c>
      <c r="F243" s="98">
        <v>1276.2573099415204</v>
      </c>
      <c r="G243" s="98">
        <v>1488.9668615984408</v>
      </c>
      <c r="H243" s="98">
        <v>1701.6764132553608</v>
      </c>
      <c r="I243" s="98">
        <v>2127.0955165692012</v>
      </c>
      <c r="J243" s="98">
        <v>2127.0955165692012</v>
      </c>
      <c r="K243" s="98">
        <v>2373.737640079104</v>
      </c>
      <c r="L243" s="98">
        <v>2373.737640079104</v>
      </c>
      <c r="M243" s="98">
        <v>2339.8050682261214</v>
      </c>
      <c r="N243" s="98">
        <v>1488.9668615984408</v>
      </c>
      <c r="O243" s="98">
        <v>1488.9668615984408</v>
      </c>
      <c r="P243" s="98">
        <v>21254.153409077695</v>
      </c>
    </row>
    <row r="244" spans="2:16">
      <c r="C244" s="98" t="s">
        <v>23</v>
      </c>
      <c r="D244" s="98">
        <v>4935.6954391255185</v>
      </c>
      <c r="E244" s="98">
        <v>4935.6954391255185</v>
      </c>
      <c r="F244" s="98">
        <v>5105.0292397660814</v>
      </c>
      <c r="G244" s="98">
        <v>5955.8674463937632</v>
      </c>
      <c r="H244" s="98">
        <v>6806.7056530214431</v>
      </c>
      <c r="I244" s="98">
        <v>8508.3820662768048</v>
      </c>
      <c r="J244" s="98">
        <v>8508.3820662768048</v>
      </c>
      <c r="K244" s="98">
        <v>9494.9505603164162</v>
      </c>
      <c r="L244" s="98">
        <v>9494.9505603164162</v>
      </c>
      <c r="M244" s="98">
        <v>9359.2202729044857</v>
      </c>
      <c r="N244" s="98">
        <v>5955.8674463937632</v>
      </c>
      <c r="O244" s="98">
        <v>5955.8674463937632</v>
      </c>
      <c r="P244" s="98">
        <v>85016.61363631078</v>
      </c>
    </row>
    <row r="245" spans="2:16">
      <c r="C245" s="98" t="s">
        <v>197</v>
      </c>
      <c r="D245" s="98">
        <v>1431.3516773464003</v>
      </c>
      <c r="E245" s="98">
        <v>1431.3516773464003</v>
      </c>
      <c r="F245" s="98">
        <v>1403.8830409356724</v>
      </c>
      <c r="G245" s="98">
        <v>1637.863547758285</v>
      </c>
      <c r="H245" s="98">
        <v>1871.8440545808969</v>
      </c>
      <c r="I245" s="98">
        <v>2339.8050682261214</v>
      </c>
      <c r="J245" s="98">
        <v>2339.8050682261214</v>
      </c>
      <c r="K245" s="98">
        <v>2611.1114040870148</v>
      </c>
      <c r="L245" s="98">
        <v>2611.1114040870148</v>
      </c>
      <c r="M245" s="98">
        <v>2573.7855750487338</v>
      </c>
      <c r="N245" s="98">
        <v>1637.863547758285</v>
      </c>
      <c r="O245" s="98">
        <v>1637.863547758285</v>
      </c>
      <c r="P245" s="98">
        <v>23527.639613159234</v>
      </c>
    </row>
    <row r="246" spans="2:16">
      <c r="C246" s="98" t="s">
        <v>198</v>
      </c>
      <c r="D246" s="98">
        <v>3504.3437617791183</v>
      </c>
      <c r="E246" s="98">
        <v>3504.3437617791183</v>
      </c>
      <c r="F246" s="98">
        <v>3701.146198830409</v>
      </c>
      <c r="G246" s="98">
        <v>4318.0038986354784</v>
      </c>
      <c r="H246" s="98">
        <v>4934.861598440546</v>
      </c>
      <c r="I246" s="98">
        <v>6168.576998050683</v>
      </c>
      <c r="J246" s="98">
        <v>6168.576998050683</v>
      </c>
      <c r="K246" s="98">
        <v>6883.8391562294019</v>
      </c>
      <c r="L246" s="98">
        <v>6883.8391562294019</v>
      </c>
      <c r="M246" s="98">
        <v>6785.4346978557514</v>
      </c>
      <c r="N246" s="98">
        <v>4318.0038986354784</v>
      </c>
      <c r="O246" s="98">
        <v>4318.0038986354784</v>
      </c>
      <c r="P246" s="98">
        <v>61488.974023151539</v>
      </c>
    </row>
    <row r="247" spans="2:16">
      <c r="B247" s="98" t="s">
        <v>153</v>
      </c>
      <c r="C247" s="98" t="s">
        <v>194</v>
      </c>
      <c r="D247" s="98">
        <v>3.5</v>
      </c>
    </row>
    <row r="248" spans="2:16">
      <c r="C248" s="98" t="s">
        <v>195</v>
      </c>
      <c r="D248" s="98">
        <v>1.1000000000000001</v>
      </c>
    </row>
    <row r="249" spans="2:16">
      <c r="C249" s="98" t="s">
        <v>196</v>
      </c>
      <c r="D249" s="98">
        <v>0</v>
      </c>
      <c r="E249" s="98">
        <v>0</v>
      </c>
      <c r="F249" s="98">
        <v>0</v>
      </c>
      <c r="G249" s="98">
        <v>1086.7348800000004</v>
      </c>
      <c r="H249" s="98">
        <v>1240</v>
      </c>
      <c r="I249" s="98">
        <v>1240</v>
      </c>
      <c r="J249" s="98">
        <v>1240</v>
      </c>
      <c r="K249" s="98">
        <v>1240</v>
      </c>
      <c r="L249" s="98">
        <v>1240</v>
      </c>
      <c r="M249" s="98">
        <v>1240</v>
      </c>
      <c r="N249" s="98">
        <v>1086.7348800000004</v>
      </c>
      <c r="O249" s="98">
        <v>1086.7348800000004</v>
      </c>
      <c r="P249" s="98">
        <v>10700.20464</v>
      </c>
    </row>
    <row r="250" spans="2:16">
      <c r="C250" s="98" t="s">
        <v>23</v>
      </c>
      <c r="D250" s="98">
        <v>0</v>
      </c>
      <c r="E250" s="98">
        <v>0</v>
      </c>
      <c r="F250" s="98">
        <v>0</v>
      </c>
      <c r="G250" s="98">
        <v>3803.5720800000017</v>
      </c>
      <c r="H250" s="98">
        <v>4340</v>
      </c>
      <c r="I250" s="98">
        <v>4340</v>
      </c>
      <c r="J250" s="98">
        <v>4340</v>
      </c>
      <c r="K250" s="98">
        <v>4340</v>
      </c>
      <c r="L250" s="98">
        <v>4340</v>
      </c>
      <c r="M250" s="98">
        <v>4340</v>
      </c>
      <c r="N250" s="98">
        <v>3803.5720800000017</v>
      </c>
      <c r="O250" s="98">
        <v>3803.5720800000017</v>
      </c>
      <c r="P250" s="98">
        <v>37450.716240000009</v>
      </c>
    </row>
    <row r="251" spans="2:16">
      <c r="C251" s="98" t="s">
        <v>197</v>
      </c>
      <c r="D251" s="98">
        <v>0</v>
      </c>
      <c r="E251" s="98">
        <v>0</v>
      </c>
      <c r="F251" s="98">
        <v>0</v>
      </c>
      <c r="G251" s="98">
        <v>1195.4083680000006</v>
      </c>
      <c r="H251" s="98">
        <v>1364</v>
      </c>
      <c r="I251" s="98">
        <v>1364</v>
      </c>
      <c r="J251" s="98">
        <v>1364</v>
      </c>
      <c r="K251" s="98">
        <v>1364</v>
      </c>
      <c r="L251" s="98">
        <v>1364</v>
      </c>
      <c r="M251" s="98">
        <v>1364</v>
      </c>
      <c r="N251" s="98">
        <v>1195.4083680000006</v>
      </c>
      <c r="O251" s="98">
        <v>1195.4083680000006</v>
      </c>
      <c r="P251" s="98">
        <v>11770.225104000001</v>
      </c>
    </row>
    <row r="252" spans="2:16">
      <c r="C252" s="98" t="s">
        <v>198</v>
      </c>
      <c r="D252" s="98">
        <v>0</v>
      </c>
      <c r="E252" s="98">
        <v>0</v>
      </c>
      <c r="F252" s="98">
        <v>0</v>
      </c>
      <c r="G252" s="98">
        <v>2608.1637120000014</v>
      </c>
      <c r="H252" s="98">
        <v>2976</v>
      </c>
      <c r="I252" s="98">
        <v>2976</v>
      </c>
      <c r="J252" s="98">
        <v>2976</v>
      </c>
      <c r="K252" s="98">
        <v>2976</v>
      </c>
      <c r="L252" s="98">
        <v>2976</v>
      </c>
      <c r="M252" s="98">
        <v>2976</v>
      </c>
      <c r="N252" s="98">
        <v>2608.1637120000014</v>
      </c>
      <c r="O252" s="98">
        <v>2608.1637120000014</v>
      </c>
      <c r="P252" s="98">
        <v>25680.491136000004</v>
      </c>
    </row>
    <row r="253" spans="2:16">
      <c r="B253" s="98" t="s">
        <v>154</v>
      </c>
      <c r="C253" s="98" t="s">
        <v>194</v>
      </c>
      <c r="D253" s="98">
        <v>3.5</v>
      </c>
    </row>
    <row r="254" spans="2:16">
      <c r="C254" s="98" t="s">
        <v>195</v>
      </c>
      <c r="D254" s="98">
        <v>1.1000000000000001</v>
      </c>
    </row>
    <row r="255" spans="2:16">
      <c r="C255" s="98" t="s">
        <v>196</v>
      </c>
      <c r="D255" s="98">
        <v>0</v>
      </c>
      <c r="E255" s="98">
        <v>0</v>
      </c>
      <c r="F255" s="98">
        <v>0</v>
      </c>
      <c r="G255" s="98">
        <v>0</v>
      </c>
      <c r="H255" s="98">
        <v>1076.3850240000004</v>
      </c>
      <c r="I255" s="98">
        <v>1240</v>
      </c>
      <c r="J255" s="98">
        <v>1240</v>
      </c>
      <c r="K255" s="98">
        <v>1240</v>
      </c>
      <c r="L255" s="98">
        <v>1240</v>
      </c>
      <c r="M255" s="98">
        <v>1240</v>
      </c>
      <c r="N255" s="98">
        <v>0</v>
      </c>
      <c r="O255" s="98">
        <v>0</v>
      </c>
      <c r="P255" s="98">
        <v>7276.3850240000002</v>
      </c>
    </row>
    <row r="256" spans="2:16">
      <c r="C256" s="98" t="s">
        <v>23</v>
      </c>
      <c r="D256" s="98">
        <v>0</v>
      </c>
      <c r="E256" s="98">
        <v>0</v>
      </c>
      <c r="F256" s="98">
        <v>0</v>
      </c>
      <c r="G256" s="98">
        <v>0</v>
      </c>
      <c r="H256" s="98">
        <v>3767.3475840000015</v>
      </c>
      <c r="I256" s="98">
        <v>4340</v>
      </c>
      <c r="J256" s="98">
        <v>4340</v>
      </c>
      <c r="K256" s="98">
        <v>4340</v>
      </c>
      <c r="L256" s="98">
        <v>4340</v>
      </c>
      <c r="M256" s="98">
        <v>4340</v>
      </c>
      <c r="N256" s="98">
        <v>0</v>
      </c>
      <c r="O256" s="98">
        <v>0</v>
      </c>
      <c r="P256" s="98">
        <v>25467.347584000003</v>
      </c>
    </row>
    <row r="257" spans="2:16">
      <c r="C257" s="98" t="s">
        <v>197</v>
      </c>
      <c r="D257" s="98">
        <v>0</v>
      </c>
      <c r="E257" s="98">
        <v>0</v>
      </c>
      <c r="F257" s="98">
        <v>0</v>
      </c>
      <c r="G257" s="98">
        <v>0</v>
      </c>
      <c r="H257" s="98">
        <v>1184.0235264000005</v>
      </c>
      <c r="I257" s="98">
        <v>1364</v>
      </c>
      <c r="J257" s="98">
        <v>1364</v>
      </c>
      <c r="K257" s="98">
        <v>1364</v>
      </c>
      <c r="L257" s="98">
        <v>1364</v>
      </c>
      <c r="M257" s="98">
        <v>1364</v>
      </c>
      <c r="N257" s="98">
        <v>0</v>
      </c>
      <c r="O257" s="98">
        <v>0</v>
      </c>
      <c r="P257" s="98">
        <v>8004.0235264000003</v>
      </c>
    </row>
    <row r="258" spans="2:16">
      <c r="C258" s="98" t="s">
        <v>198</v>
      </c>
      <c r="D258" s="98">
        <v>0</v>
      </c>
      <c r="E258" s="98">
        <v>0</v>
      </c>
      <c r="F258" s="98">
        <v>0</v>
      </c>
      <c r="G258" s="98">
        <v>0</v>
      </c>
      <c r="H258" s="98">
        <v>2583.3240576000007</v>
      </c>
      <c r="I258" s="98">
        <v>2976</v>
      </c>
      <c r="J258" s="98">
        <v>2976</v>
      </c>
      <c r="K258" s="98">
        <v>2976</v>
      </c>
      <c r="L258" s="98">
        <v>2976</v>
      </c>
      <c r="M258" s="98">
        <v>2976</v>
      </c>
      <c r="N258" s="98">
        <v>0</v>
      </c>
      <c r="O258" s="98">
        <v>0</v>
      </c>
      <c r="P258" s="98">
        <v>17463.324057600003</v>
      </c>
    </row>
    <row r="259" spans="2:16">
      <c r="B259" s="98" t="s">
        <v>155</v>
      </c>
      <c r="C259" s="98" t="s">
        <v>194</v>
      </c>
      <c r="D259" s="98">
        <v>3.5</v>
      </c>
    </row>
    <row r="260" spans="2:16">
      <c r="C260" s="98" t="s">
        <v>195</v>
      </c>
      <c r="D260" s="98">
        <v>1.1000000000000001</v>
      </c>
    </row>
    <row r="261" spans="2:16">
      <c r="C261" s="98" t="s">
        <v>196</v>
      </c>
      <c r="D261" s="98">
        <v>0</v>
      </c>
      <c r="E261" s="98">
        <v>0</v>
      </c>
      <c r="F261" s="98">
        <v>0</v>
      </c>
      <c r="G261" s="98">
        <v>0</v>
      </c>
      <c r="H261" s="98">
        <v>1076.3850240000004</v>
      </c>
      <c r="I261" s="98">
        <v>1240</v>
      </c>
      <c r="J261" s="98">
        <v>1240</v>
      </c>
      <c r="K261" s="98">
        <v>1240</v>
      </c>
      <c r="L261" s="98">
        <v>1240</v>
      </c>
      <c r="M261" s="98">
        <v>1240</v>
      </c>
      <c r="N261" s="98">
        <v>0</v>
      </c>
      <c r="O261" s="98">
        <v>0</v>
      </c>
      <c r="P261" s="98">
        <v>7276.3850240000002</v>
      </c>
    </row>
    <row r="262" spans="2:16">
      <c r="C262" s="98" t="s">
        <v>23</v>
      </c>
      <c r="D262" s="98">
        <v>0</v>
      </c>
      <c r="E262" s="98">
        <v>0</v>
      </c>
      <c r="F262" s="98">
        <v>0</v>
      </c>
      <c r="G262" s="98">
        <v>0</v>
      </c>
      <c r="H262" s="98">
        <v>3767.3475840000015</v>
      </c>
      <c r="I262" s="98">
        <v>4340</v>
      </c>
      <c r="J262" s="98">
        <v>4340</v>
      </c>
      <c r="K262" s="98">
        <v>4340</v>
      </c>
      <c r="L262" s="98">
        <v>4340</v>
      </c>
      <c r="M262" s="98">
        <v>4340</v>
      </c>
      <c r="N262" s="98">
        <v>0</v>
      </c>
      <c r="O262" s="98">
        <v>0</v>
      </c>
      <c r="P262" s="98">
        <v>25467.347584000003</v>
      </c>
    </row>
    <row r="263" spans="2:16">
      <c r="C263" s="98" t="s">
        <v>197</v>
      </c>
      <c r="D263" s="98">
        <v>0</v>
      </c>
      <c r="E263" s="98">
        <v>0</v>
      </c>
      <c r="F263" s="98">
        <v>0</v>
      </c>
      <c r="G263" s="98">
        <v>0</v>
      </c>
      <c r="H263" s="98">
        <v>1184.0235264000005</v>
      </c>
      <c r="I263" s="98">
        <v>1364</v>
      </c>
      <c r="J263" s="98">
        <v>1364</v>
      </c>
      <c r="K263" s="98">
        <v>1364</v>
      </c>
      <c r="L263" s="98">
        <v>1364</v>
      </c>
      <c r="M263" s="98">
        <v>1364</v>
      </c>
      <c r="N263" s="98">
        <v>0</v>
      </c>
      <c r="O263" s="98">
        <v>0</v>
      </c>
      <c r="P263" s="98">
        <v>8004.0235264000003</v>
      </c>
    </row>
    <row r="264" spans="2:16">
      <c r="C264" s="98" t="s">
        <v>198</v>
      </c>
      <c r="D264" s="98">
        <v>0</v>
      </c>
      <c r="E264" s="98">
        <v>0</v>
      </c>
      <c r="F264" s="98">
        <v>0</v>
      </c>
      <c r="G264" s="98">
        <v>0</v>
      </c>
      <c r="H264" s="98">
        <v>2583.3240576000007</v>
      </c>
      <c r="I264" s="98">
        <v>2976</v>
      </c>
      <c r="J264" s="98">
        <v>2976</v>
      </c>
      <c r="K264" s="98">
        <v>2976</v>
      </c>
      <c r="L264" s="98">
        <v>2976</v>
      </c>
      <c r="M264" s="98">
        <v>2976</v>
      </c>
      <c r="N264" s="98">
        <v>0</v>
      </c>
      <c r="O264" s="98">
        <v>0</v>
      </c>
      <c r="P264" s="98">
        <v>17463.324057600003</v>
      </c>
    </row>
    <row r="265" spans="2:16">
      <c r="B265" s="98" t="s">
        <v>156</v>
      </c>
      <c r="C265" s="98" t="s">
        <v>194</v>
      </c>
      <c r="D265" s="98">
        <v>3.5</v>
      </c>
    </row>
    <row r="266" spans="2:16">
      <c r="C266" s="98" t="s">
        <v>195</v>
      </c>
      <c r="D266" s="98">
        <v>1.1000000000000001</v>
      </c>
    </row>
    <row r="267" spans="2:16">
      <c r="C267" s="98" t="s">
        <v>196</v>
      </c>
      <c r="D267" s="98">
        <v>0</v>
      </c>
      <c r="E267" s="98">
        <v>0</v>
      </c>
      <c r="F267" s="98">
        <v>0</v>
      </c>
      <c r="G267" s="98">
        <v>1014.2858880000005</v>
      </c>
      <c r="H267" s="98">
        <v>1159.1838720000005</v>
      </c>
      <c r="I267" s="98">
        <v>1240</v>
      </c>
      <c r="J267" s="98">
        <v>1240</v>
      </c>
      <c r="K267" s="98">
        <v>1240</v>
      </c>
      <c r="L267" s="98">
        <v>1240</v>
      </c>
      <c r="M267" s="98">
        <v>1240</v>
      </c>
      <c r="N267" s="98">
        <v>1014.2858880000005</v>
      </c>
      <c r="O267" s="98">
        <v>1014.2858880000005</v>
      </c>
      <c r="P267" s="98">
        <v>10402.041536000001</v>
      </c>
    </row>
    <row r="268" spans="2:16">
      <c r="C268" s="98" t="s">
        <v>23</v>
      </c>
      <c r="D268" s="98">
        <v>0</v>
      </c>
      <c r="E268" s="98">
        <v>0</v>
      </c>
      <c r="F268" s="98">
        <v>0</v>
      </c>
      <c r="G268" s="98">
        <v>3550.0006080000016</v>
      </c>
      <c r="H268" s="98">
        <v>4057.1435520000018</v>
      </c>
      <c r="I268" s="98">
        <v>4340</v>
      </c>
      <c r="J268" s="98">
        <v>4340</v>
      </c>
      <c r="K268" s="98">
        <v>4340</v>
      </c>
      <c r="L268" s="98">
        <v>4340</v>
      </c>
      <c r="M268" s="98">
        <v>4340</v>
      </c>
      <c r="N268" s="98">
        <v>3550.0006080000016</v>
      </c>
      <c r="O268" s="98">
        <v>3550.0006080000016</v>
      </c>
      <c r="P268" s="98">
        <v>36407.145376000008</v>
      </c>
    </row>
    <row r="269" spans="2:16">
      <c r="C269" s="98" t="s">
        <v>197</v>
      </c>
      <c r="D269" s="98">
        <v>0</v>
      </c>
      <c r="E269" s="98">
        <v>0</v>
      </c>
      <c r="F269" s="98">
        <v>0</v>
      </c>
      <c r="G269" s="98">
        <v>1115.7144768000005</v>
      </c>
      <c r="H269" s="98">
        <v>1275.1022592000006</v>
      </c>
      <c r="I269" s="98">
        <v>1364</v>
      </c>
      <c r="J269" s="98">
        <v>1364</v>
      </c>
      <c r="K269" s="98">
        <v>1364</v>
      </c>
      <c r="L269" s="98">
        <v>1364</v>
      </c>
      <c r="M269" s="98">
        <v>1364</v>
      </c>
      <c r="N269" s="98">
        <v>1115.7144768000005</v>
      </c>
      <c r="O269" s="98">
        <v>1115.7144768000005</v>
      </c>
      <c r="P269" s="98">
        <v>11442.2456896</v>
      </c>
    </row>
    <row r="270" spans="2:16">
      <c r="C270" s="98" t="s">
        <v>198</v>
      </c>
      <c r="D270" s="98">
        <v>0</v>
      </c>
      <c r="E270" s="98">
        <v>0</v>
      </c>
      <c r="F270" s="98">
        <v>0</v>
      </c>
      <c r="G270" s="98">
        <v>2434.2861312000014</v>
      </c>
      <c r="H270" s="98">
        <v>2782.0412928000014</v>
      </c>
      <c r="I270" s="98">
        <v>2976</v>
      </c>
      <c r="J270" s="98">
        <v>2976</v>
      </c>
      <c r="K270" s="98">
        <v>2976</v>
      </c>
      <c r="L270" s="98">
        <v>2976</v>
      </c>
      <c r="M270" s="98">
        <v>2976</v>
      </c>
      <c r="N270" s="98">
        <v>2434.2861312000014</v>
      </c>
      <c r="O270" s="98">
        <v>2434.2861312000014</v>
      </c>
      <c r="P270" s="98">
        <v>24964.899686400007</v>
      </c>
    </row>
    <row r="271" spans="2:16">
      <c r="B271" s="98" t="s">
        <v>157</v>
      </c>
      <c r="C271" s="98" t="s">
        <v>194</v>
      </c>
      <c r="D271" s="98">
        <v>1.25</v>
      </c>
    </row>
    <row r="272" spans="2:16">
      <c r="C272" s="98" t="s">
        <v>195</v>
      </c>
      <c r="D272" s="98">
        <v>1.06</v>
      </c>
    </row>
    <row r="273" spans="2:16">
      <c r="C273" s="98" t="s">
        <v>196</v>
      </c>
      <c r="D273" s="98">
        <v>4758.0353918382089</v>
      </c>
      <c r="E273" s="98">
        <v>4758.0353918382089</v>
      </c>
      <c r="F273" s="98">
        <v>5939.8872886662484</v>
      </c>
      <c r="G273" s="98">
        <v>7135.3965183752407</v>
      </c>
      <c r="H273" s="98">
        <v>8154.7388781431328</v>
      </c>
      <c r="I273" s="98">
        <v>10193.423597678917</v>
      </c>
      <c r="J273" s="98">
        <v>10193.423597678917</v>
      </c>
      <c r="K273" s="98">
        <v>12605.98006644518</v>
      </c>
      <c r="L273" s="98">
        <v>12605.98006644518</v>
      </c>
      <c r="M273" s="98">
        <v>11397.140303842716</v>
      </c>
      <c r="N273" s="98">
        <v>7135.3965183752407</v>
      </c>
      <c r="O273" s="98">
        <v>7135.3965183752407</v>
      </c>
      <c r="P273" s="98">
        <v>102012.83413770242</v>
      </c>
    </row>
    <row r="274" spans="2:16">
      <c r="C274" s="98" t="s">
        <v>23</v>
      </c>
      <c r="D274" s="98">
        <v>5947.5442397977613</v>
      </c>
      <c r="E274" s="98">
        <v>5947.5442397977613</v>
      </c>
      <c r="F274" s="98">
        <v>7424.859110832811</v>
      </c>
      <c r="G274" s="98">
        <v>8919.2456479690518</v>
      </c>
      <c r="H274" s="98">
        <v>10193.423597678917</v>
      </c>
      <c r="I274" s="98">
        <v>12741.779497098647</v>
      </c>
      <c r="J274" s="98">
        <v>12741.779497098647</v>
      </c>
      <c r="K274" s="98">
        <v>15757.475083056474</v>
      </c>
      <c r="L274" s="98">
        <v>15757.475083056474</v>
      </c>
      <c r="M274" s="98">
        <v>14246.425379803395</v>
      </c>
      <c r="N274" s="98">
        <v>8919.2456479690518</v>
      </c>
      <c r="O274" s="98">
        <v>8919.2456479690518</v>
      </c>
      <c r="P274" s="98">
        <v>127516.04267212801</v>
      </c>
    </row>
    <row r="275" spans="2:16">
      <c r="C275" s="98" t="s">
        <v>197</v>
      </c>
      <c r="D275" s="98">
        <v>5519.3210545323218</v>
      </c>
      <c r="E275" s="98">
        <v>5519.3210545323218</v>
      </c>
      <c r="F275" s="98">
        <v>6296.2805259862234</v>
      </c>
      <c r="G275" s="98">
        <v>7563.5203094777553</v>
      </c>
      <c r="H275" s="98">
        <v>8644.0232108317214</v>
      </c>
      <c r="I275" s="98">
        <v>10805.029013539652</v>
      </c>
      <c r="J275" s="98">
        <v>10805.029013539652</v>
      </c>
      <c r="K275" s="98">
        <v>13362.338870431891</v>
      </c>
      <c r="L275" s="98">
        <v>13362.338870431891</v>
      </c>
      <c r="M275" s="98">
        <v>12080.968722073279</v>
      </c>
      <c r="N275" s="98">
        <v>7563.5203094777553</v>
      </c>
      <c r="O275" s="98">
        <v>7563.5203094777553</v>
      </c>
      <c r="P275" s="98">
        <v>109085.2112643322</v>
      </c>
    </row>
    <row r="276" spans="2:16">
      <c r="C276" s="98" t="s">
        <v>198</v>
      </c>
      <c r="D276" s="98">
        <v>428.2231852654395</v>
      </c>
      <c r="E276" s="98">
        <v>428.2231852654395</v>
      </c>
      <c r="F276" s="98">
        <v>1128.5785848465875</v>
      </c>
      <c r="G276" s="98">
        <v>1355.7253384912965</v>
      </c>
      <c r="H276" s="98">
        <v>1549.4003868471955</v>
      </c>
      <c r="I276" s="98">
        <v>1936.7504835589953</v>
      </c>
      <c r="J276" s="98">
        <v>1936.7504835589953</v>
      </c>
      <c r="K276" s="98">
        <v>2395.1362126245822</v>
      </c>
      <c r="L276" s="98">
        <v>2395.1362126245822</v>
      </c>
      <c r="M276" s="98">
        <v>2165.4566577301157</v>
      </c>
      <c r="N276" s="98">
        <v>1355.7253384912965</v>
      </c>
      <c r="O276" s="98">
        <v>1355.7253384912965</v>
      </c>
      <c r="P276" s="98">
        <v>18430.83140779582</v>
      </c>
    </row>
    <row r="277" spans="2:16">
      <c r="B277" s="98" t="s">
        <v>158</v>
      </c>
      <c r="C277" s="98" t="s">
        <v>194</v>
      </c>
      <c r="D277" s="98">
        <v>1.28</v>
      </c>
    </row>
    <row r="278" spans="2:16">
      <c r="C278" s="98" t="s">
        <v>195</v>
      </c>
      <c r="D278" s="98">
        <v>1.06</v>
      </c>
    </row>
    <row r="279" spans="2:16">
      <c r="C279" s="98" t="s">
        <v>196</v>
      </c>
      <c r="D279" s="98">
        <v>4966.0761402186199</v>
      </c>
      <c r="E279" s="98">
        <v>4966.0761402186199</v>
      </c>
      <c r="F279" s="98">
        <v>6163.7426900584787</v>
      </c>
      <c r="G279" s="98">
        <v>7191.0331384015599</v>
      </c>
      <c r="H279" s="98">
        <v>8218.3235867446401</v>
      </c>
      <c r="I279" s="98">
        <v>10272.904483430801</v>
      </c>
      <c r="J279" s="98">
        <v>10272.904483430801</v>
      </c>
      <c r="K279" s="98">
        <v>12506.262359920895</v>
      </c>
      <c r="L279" s="98">
        <v>12506.262359920895</v>
      </c>
      <c r="M279" s="98">
        <v>11300.194931773878</v>
      </c>
      <c r="N279" s="98">
        <v>7191.0331384015599</v>
      </c>
      <c r="O279" s="98">
        <v>7191.0331384015599</v>
      </c>
      <c r="P279" s="98">
        <v>102745.8465909223</v>
      </c>
    </row>
    <row r="280" spans="2:16">
      <c r="C280" s="98" t="s">
        <v>23</v>
      </c>
      <c r="D280" s="98">
        <v>6356.577459479834</v>
      </c>
      <c r="E280" s="98">
        <v>6356.577459479834</v>
      </c>
      <c r="F280" s="98">
        <v>7889.5906432748534</v>
      </c>
      <c r="G280" s="98">
        <v>9204.5224171539976</v>
      </c>
      <c r="H280" s="98">
        <v>10519.454191033139</v>
      </c>
      <c r="I280" s="98">
        <v>13149.317738791426</v>
      </c>
      <c r="J280" s="98">
        <v>13149.317738791426</v>
      </c>
      <c r="K280" s="98">
        <v>16008.015820698745</v>
      </c>
      <c r="L280" s="98">
        <v>16008.015820698745</v>
      </c>
      <c r="M280" s="98">
        <v>14464.249512670563</v>
      </c>
      <c r="N280" s="98">
        <v>9204.5224171539976</v>
      </c>
      <c r="O280" s="98">
        <v>9204.5224171539976</v>
      </c>
      <c r="P280" s="98">
        <v>131514.68363638056</v>
      </c>
    </row>
    <row r="281" spans="2:16">
      <c r="C281" s="98" t="s">
        <v>197</v>
      </c>
      <c r="D281" s="98">
        <v>5760.6483226535984</v>
      </c>
      <c r="E281" s="98">
        <v>5760.6483226535984</v>
      </c>
      <c r="F281" s="98">
        <v>6533.5672514619882</v>
      </c>
      <c r="G281" s="98">
        <v>7622.495126705654</v>
      </c>
      <c r="H281" s="98">
        <v>8711.4230019493189</v>
      </c>
      <c r="I281" s="98">
        <v>10889.278752436649</v>
      </c>
      <c r="J281" s="98">
        <v>10889.278752436649</v>
      </c>
      <c r="K281" s="98">
        <v>13256.63810151615</v>
      </c>
      <c r="L281" s="98">
        <v>13256.63810151615</v>
      </c>
      <c r="M281" s="98">
        <v>11978.206627680311</v>
      </c>
      <c r="N281" s="98">
        <v>7622.495126705654</v>
      </c>
      <c r="O281" s="98">
        <v>7622.495126705654</v>
      </c>
      <c r="P281" s="98">
        <v>109903.81261442137</v>
      </c>
    </row>
    <row r="282" spans="2:16">
      <c r="C282" s="98" t="s">
        <v>198</v>
      </c>
      <c r="D282" s="98">
        <v>595.92913682623566</v>
      </c>
      <c r="E282" s="98">
        <v>595.92913682623566</v>
      </c>
      <c r="F282" s="98">
        <v>1356.0233918128652</v>
      </c>
      <c r="G282" s="98">
        <v>1582.0272904483436</v>
      </c>
      <c r="H282" s="98">
        <v>1808.0311890838202</v>
      </c>
      <c r="I282" s="98">
        <v>2260.0389863547771</v>
      </c>
      <c r="J282" s="98">
        <v>2260.0389863547771</v>
      </c>
      <c r="K282" s="98">
        <v>2751.3777191825957</v>
      </c>
      <c r="L282" s="98">
        <v>2751.3777191825957</v>
      </c>
      <c r="M282" s="98">
        <v>2486.0428849902528</v>
      </c>
      <c r="N282" s="98">
        <v>1582.0272904483436</v>
      </c>
      <c r="O282" s="98">
        <v>1582.0272904483436</v>
      </c>
      <c r="P282" s="98">
        <v>21610.871021959181</v>
      </c>
    </row>
    <row r="283" spans="2:16">
      <c r="B283" s="98" t="s">
        <v>159</v>
      </c>
      <c r="C283" s="98" t="s">
        <v>194</v>
      </c>
      <c r="D283" s="98">
        <v>1.25</v>
      </c>
    </row>
    <row r="284" spans="2:16">
      <c r="C284" s="98" t="s">
        <v>195</v>
      </c>
      <c r="D284" s="98">
        <v>1.0974999999999999</v>
      </c>
    </row>
    <row r="285" spans="2:16">
      <c r="C285" s="98" t="s">
        <v>196</v>
      </c>
      <c r="D285" s="98">
        <v>0</v>
      </c>
      <c r="E285" s="98">
        <v>0</v>
      </c>
      <c r="F285" s="98">
        <v>0</v>
      </c>
      <c r="G285" s="98">
        <v>378.9792320000015</v>
      </c>
      <c r="H285" s="98">
        <v>408.04608000000007</v>
      </c>
      <c r="I285" s="98">
        <v>0</v>
      </c>
      <c r="J285" s="98">
        <v>0</v>
      </c>
      <c r="K285" s="98">
        <v>0</v>
      </c>
      <c r="L285" s="98">
        <v>0</v>
      </c>
      <c r="M285" s="98">
        <v>0</v>
      </c>
      <c r="N285" s="98">
        <v>378.9792320000015</v>
      </c>
      <c r="O285" s="98">
        <v>378.9792320000015</v>
      </c>
      <c r="P285" s="98">
        <v>1544.9837760000046</v>
      </c>
    </row>
    <row r="286" spans="2:16">
      <c r="C286" s="98" t="s">
        <v>23</v>
      </c>
      <c r="D286" s="98">
        <v>0</v>
      </c>
      <c r="E286" s="98">
        <v>0</v>
      </c>
      <c r="F286" s="98">
        <v>0</v>
      </c>
      <c r="G286" s="98">
        <v>473.72404000000188</v>
      </c>
      <c r="H286" s="98">
        <v>510.05760000000009</v>
      </c>
      <c r="I286" s="98">
        <v>0</v>
      </c>
      <c r="J286" s="98">
        <v>0</v>
      </c>
      <c r="K286" s="98">
        <v>0</v>
      </c>
      <c r="L286" s="98">
        <v>0</v>
      </c>
      <c r="M286" s="98">
        <v>0</v>
      </c>
      <c r="N286" s="98">
        <v>473.72404000000188</v>
      </c>
      <c r="O286" s="98">
        <v>473.72404000000188</v>
      </c>
      <c r="P286" s="98">
        <v>1931.2297200000057</v>
      </c>
    </row>
    <row r="287" spans="2:16">
      <c r="C287" s="98" t="s">
        <v>197</v>
      </c>
      <c r="D287" s="98">
        <v>0</v>
      </c>
      <c r="E287" s="98">
        <v>0</v>
      </c>
      <c r="F287" s="98">
        <v>0</v>
      </c>
      <c r="G287" s="98">
        <v>415.92970712000164</v>
      </c>
      <c r="H287" s="98">
        <v>447.83057280000003</v>
      </c>
      <c r="I287" s="98">
        <v>0</v>
      </c>
      <c r="J287" s="98">
        <v>0</v>
      </c>
      <c r="K287" s="98">
        <v>0</v>
      </c>
      <c r="L287" s="98">
        <v>0</v>
      </c>
      <c r="M287" s="98">
        <v>0</v>
      </c>
      <c r="N287" s="98">
        <v>415.92970712000164</v>
      </c>
      <c r="O287" s="98">
        <v>415.92970712000164</v>
      </c>
      <c r="P287" s="98">
        <v>1695.6196941600051</v>
      </c>
    </row>
    <row r="288" spans="2:16">
      <c r="C288" s="98" t="s">
        <v>198</v>
      </c>
      <c r="D288" s="98">
        <v>0</v>
      </c>
      <c r="E288" s="98">
        <v>0</v>
      </c>
      <c r="F288" s="98">
        <v>0</v>
      </c>
      <c r="G288" s="98">
        <v>57.79433288000024</v>
      </c>
      <c r="H288" s="98">
        <v>62.227027200000066</v>
      </c>
      <c r="I288" s="98">
        <v>0</v>
      </c>
      <c r="J288" s="98">
        <v>0</v>
      </c>
      <c r="K288" s="98">
        <v>0</v>
      </c>
      <c r="L288" s="98">
        <v>0</v>
      </c>
      <c r="M288" s="98">
        <v>0</v>
      </c>
      <c r="N288" s="98">
        <v>57.79433288000024</v>
      </c>
      <c r="O288" s="98">
        <v>57.79433288000024</v>
      </c>
      <c r="P288" s="98">
        <v>235.61002584000079</v>
      </c>
    </row>
    <row r="290" spans="2:16">
      <c r="C290" s="98" t="s">
        <v>199</v>
      </c>
      <c r="D290" s="98">
        <v>23007.67557105028</v>
      </c>
      <c r="E290" s="98">
        <v>23007.67557105028</v>
      </c>
      <c r="F290" s="98">
        <v>26419.929839208751</v>
      </c>
      <c r="G290" s="98">
        <v>38085.34616601585</v>
      </c>
      <c r="H290" s="98">
        <v>51022.524249160975</v>
      </c>
      <c r="I290" s="98">
        <v>60585.784911451214</v>
      </c>
      <c r="J290" s="98">
        <v>60585.784911451214</v>
      </c>
      <c r="K290" s="98">
        <v>67716.52119829091</v>
      </c>
      <c r="L290" s="98">
        <v>67716.52119829091</v>
      </c>
      <c r="M290" s="98">
        <v>64401.333950007582</v>
      </c>
      <c r="N290" s="98">
        <v>38085.34616601585</v>
      </c>
      <c r="O290" s="98">
        <v>38085.34616601585</v>
      </c>
      <c r="P290" s="98">
        <v>558719.78989800962</v>
      </c>
    </row>
    <row r="291" spans="2:16">
      <c r="C291" s="98" t="s">
        <v>200</v>
      </c>
      <c r="D291" s="98">
        <v>14383.999999999998</v>
      </c>
      <c r="E291" s="98">
        <v>14383.999999999998</v>
      </c>
      <c r="F291" s="98">
        <v>15973.861563531034</v>
      </c>
      <c r="G291" s="98">
        <v>21342.671574546417</v>
      </c>
      <c r="H291" s="98">
        <v>26729.973053515907</v>
      </c>
      <c r="I291" s="98">
        <v>32049.741460894882</v>
      </c>
      <c r="J291" s="98">
        <v>32049.741460894882</v>
      </c>
      <c r="K291" s="98">
        <v>37323.951498958646</v>
      </c>
      <c r="L291" s="98">
        <v>37323.951498958646</v>
      </c>
      <c r="M291" s="98">
        <v>34690.678172344771</v>
      </c>
      <c r="N291" s="98">
        <v>21342.671574546417</v>
      </c>
      <c r="O291" s="98">
        <v>21342.671574546417</v>
      </c>
      <c r="P291" s="98">
        <v>308937.91343273799</v>
      </c>
    </row>
    <row r="292" spans="2:16">
      <c r="C292" s="98" t="s">
        <v>201</v>
      </c>
      <c r="D292" s="98">
        <v>8623.6755710502821</v>
      </c>
      <c r="E292" s="98">
        <v>8623.6755710502821</v>
      </c>
      <c r="F292" s="98">
        <v>10446.068275677715</v>
      </c>
      <c r="G292" s="98">
        <v>16742.674591469437</v>
      </c>
      <c r="H292" s="98">
        <v>24292.551195645065</v>
      </c>
      <c r="I292" s="98">
        <v>28536.043450556332</v>
      </c>
      <c r="J292" s="98">
        <v>28536.043450556332</v>
      </c>
      <c r="K292" s="98">
        <v>30392.569699332256</v>
      </c>
      <c r="L292" s="98">
        <v>30392.569699332256</v>
      </c>
      <c r="M292" s="98">
        <v>29710.655777662807</v>
      </c>
      <c r="N292" s="98">
        <v>16742.674591469437</v>
      </c>
      <c r="O292" s="98">
        <v>16742.674591469437</v>
      </c>
      <c r="P292" s="98">
        <v>249781.87646527163</v>
      </c>
    </row>
    <row r="294" spans="2:16">
      <c r="B294" s="98" t="s">
        <v>202</v>
      </c>
      <c r="C294" s="98" t="s">
        <v>214</v>
      </c>
    </row>
    <row r="295" spans="2:16">
      <c r="C295" s="98" t="s">
        <v>181</v>
      </c>
      <c r="D295" s="98">
        <v>10833.333333333334</v>
      </c>
      <c r="E295" s="98">
        <v>10833.333333333334</v>
      </c>
      <c r="F295" s="98">
        <v>10833.333333333334</v>
      </c>
      <c r="G295" s="98">
        <v>10833.333333333334</v>
      </c>
      <c r="H295" s="98">
        <v>10833.333333333334</v>
      </c>
      <c r="I295" s="98">
        <v>10833.333333333334</v>
      </c>
      <c r="J295" s="98">
        <v>10833.333333333334</v>
      </c>
      <c r="K295" s="98">
        <v>10833.333333333334</v>
      </c>
      <c r="L295" s="98">
        <v>10833.333333333334</v>
      </c>
      <c r="M295" s="98">
        <v>10833.333333333334</v>
      </c>
      <c r="N295" s="98">
        <v>10833.333333333334</v>
      </c>
      <c r="O295" s="98">
        <v>10833.333333333334</v>
      </c>
      <c r="P295" s="98">
        <v>129999.99999999999</v>
      </c>
    </row>
    <row r="296" spans="2:16">
      <c r="C296" s="98" t="s">
        <v>182</v>
      </c>
      <c r="D296" s="98">
        <v>2791.6666666666665</v>
      </c>
      <c r="E296" s="98">
        <v>2791.6666666666665</v>
      </c>
      <c r="F296" s="98">
        <v>2791.6666666666665</v>
      </c>
      <c r="G296" s="98">
        <v>2791.6666666666665</v>
      </c>
      <c r="H296" s="98">
        <v>2791.6666666666665</v>
      </c>
      <c r="I296" s="98">
        <v>2791.6666666666665</v>
      </c>
      <c r="J296" s="98">
        <v>2791.6666666666665</v>
      </c>
      <c r="K296" s="98">
        <v>2791.6666666666665</v>
      </c>
      <c r="L296" s="98">
        <v>2791.6666666666665</v>
      </c>
      <c r="M296" s="98">
        <v>2791.6666666666665</v>
      </c>
      <c r="N296" s="98">
        <v>2791.6666666666665</v>
      </c>
      <c r="O296" s="98">
        <v>2791.6666666666665</v>
      </c>
      <c r="P296" s="98">
        <v>33500.000000000007</v>
      </c>
    </row>
    <row r="297" spans="2:16">
      <c r="C297" s="98" t="s">
        <v>183</v>
      </c>
      <c r="D297" s="98">
        <v>3166.6666666666665</v>
      </c>
      <c r="E297" s="98">
        <v>3166.6666666666665</v>
      </c>
      <c r="F297" s="98">
        <v>3166.6666666666665</v>
      </c>
      <c r="G297" s="98">
        <v>3166.6666666666665</v>
      </c>
      <c r="H297" s="98">
        <v>3166.6666666666665</v>
      </c>
      <c r="I297" s="98">
        <v>3166.6666666666665</v>
      </c>
      <c r="J297" s="98">
        <v>3166.6666666666665</v>
      </c>
      <c r="K297" s="98">
        <v>3166.6666666666665</v>
      </c>
      <c r="L297" s="98">
        <v>3166.6666666666665</v>
      </c>
      <c r="M297" s="98">
        <v>3166.6666666666665</v>
      </c>
      <c r="N297" s="98">
        <v>3166.6666666666665</v>
      </c>
      <c r="O297" s="98">
        <v>3166.6666666666665</v>
      </c>
      <c r="P297" s="98">
        <v>38000</v>
      </c>
    </row>
    <row r="298" spans="2:16">
      <c r="C298" s="98" t="s">
        <v>184</v>
      </c>
      <c r="D298" s="98">
        <v>416.66666666666669</v>
      </c>
      <c r="E298" s="98">
        <v>416.66666666666669</v>
      </c>
      <c r="F298" s="98">
        <v>416.66666666666669</v>
      </c>
      <c r="G298" s="98">
        <v>416.66666666666669</v>
      </c>
      <c r="H298" s="98">
        <v>416.66666666666669</v>
      </c>
      <c r="I298" s="98">
        <v>416.66666666666669</v>
      </c>
      <c r="J298" s="98">
        <v>416.66666666666669</v>
      </c>
      <c r="K298" s="98">
        <v>416.66666666666669</v>
      </c>
      <c r="L298" s="98">
        <v>416.66666666666669</v>
      </c>
      <c r="M298" s="98">
        <v>416.66666666666669</v>
      </c>
      <c r="N298" s="98">
        <v>416.66666666666669</v>
      </c>
      <c r="O298" s="98">
        <v>416.66666666666669</v>
      </c>
      <c r="P298" s="98">
        <v>5000</v>
      </c>
    </row>
    <row r="300" spans="2:16">
      <c r="C300" s="98" t="s">
        <v>204</v>
      </c>
      <c r="D300" s="98">
        <v>1603.2599563249066</v>
      </c>
      <c r="E300" s="98">
        <v>1603.2599563249066</v>
      </c>
      <c r="F300" s="98">
        <v>1603.2599563249066</v>
      </c>
      <c r="G300" s="98">
        <v>1603.2599563249066</v>
      </c>
      <c r="H300" s="98">
        <v>1603.2599563249066</v>
      </c>
      <c r="I300" s="98">
        <v>1603.2599563249066</v>
      </c>
      <c r="J300" s="98">
        <v>1603.2599563249066</v>
      </c>
      <c r="K300" s="98">
        <v>1603.2599563249066</v>
      </c>
      <c r="L300" s="98">
        <v>1603.2599563249066</v>
      </c>
      <c r="M300" s="98">
        <v>1603.2599563249066</v>
      </c>
      <c r="N300" s="98">
        <v>1603.2599563249066</v>
      </c>
      <c r="O300" s="98">
        <v>1603.2599563249066</v>
      </c>
      <c r="P300" s="98">
        <v>19239.119475898875</v>
      </c>
    </row>
    <row r="302" spans="2:16">
      <c r="C302" s="98" t="s">
        <v>6</v>
      </c>
      <c r="D302" s="98">
        <v>19880.343289658242</v>
      </c>
      <c r="E302" s="98">
        <v>19880.343289658242</v>
      </c>
      <c r="F302" s="98">
        <v>19880.343289658242</v>
      </c>
      <c r="G302" s="98">
        <v>19880.343289658242</v>
      </c>
      <c r="H302" s="98">
        <v>19880.343289658242</v>
      </c>
      <c r="I302" s="98">
        <v>19880.343289658242</v>
      </c>
      <c r="J302" s="98">
        <v>19880.343289658242</v>
      </c>
      <c r="K302" s="98">
        <v>19880.343289658242</v>
      </c>
      <c r="L302" s="98">
        <v>19880.343289658242</v>
      </c>
      <c r="M302" s="98">
        <v>19880.343289658242</v>
      </c>
      <c r="N302" s="98">
        <v>19880.343289658242</v>
      </c>
      <c r="O302" s="98">
        <v>19880.343289658242</v>
      </c>
      <c r="P302" s="98">
        <v>238564.11947589894</v>
      </c>
    </row>
    <row r="304" spans="2:16">
      <c r="C304" s="98" t="s">
        <v>20</v>
      </c>
      <c r="D304" s="98">
        <v>1068.7500000000002</v>
      </c>
      <c r="E304" s="98">
        <v>1068.7500000000002</v>
      </c>
      <c r="F304" s="98">
        <v>1068.7500000000002</v>
      </c>
      <c r="G304" s="98">
        <v>1068.7500000000002</v>
      </c>
      <c r="H304" s="98">
        <v>1068.7500000000002</v>
      </c>
      <c r="I304" s="98">
        <v>1068.7500000000002</v>
      </c>
      <c r="J304" s="98">
        <v>1068.7500000000002</v>
      </c>
      <c r="K304" s="98">
        <v>1068.7500000000002</v>
      </c>
      <c r="L304" s="98">
        <v>1068.7500000000002</v>
      </c>
      <c r="M304" s="98">
        <v>1068.7500000000002</v>
      </c>
      <c r="N304" s="98">
        <v>1068.7500000000002</v>
      </c>
      <c r="O304" s="98">
        <v>1068.7500000000002</v>
      </c>
      <c r="P304" s="98">
        <v>12825.000000000002</v>
      </c>
    </row>
    <row r="305" spans="1:16">
      <c r="C305" s="98" t="s">
        <v>205</v>
      </c>
      <c r="D305" s="98">
        <v>-11256.66771860796</v>
      </c>
      <c r="E305" s="98">
        <v>-11256.66771860796</v>
      </c>
      <c r="F305" s="98">
        <v>-9434.2750139805266</v>
      </c>
      <c r="G305" s="98">
        <v>-3137.6686981888051</v>
      </c>
      <c r="H305" s="98">
        <v>4412.2079059868229</v>
      </c>
      <c r="I305" s="98">
        <v>8655.70016089809</v>
      </c>
      <c r="J305" s="98">
        <v>8655.70016089809</v>
      </c>
      <c r="K305" s="98">
        <v>10512.226409674015</v>
      </c>
      <c r="L305" s="98">
        <v>10512.226409674015</v>
      </c>
      <c r="M305" s="98">
        <v>9830.3124880045652</v>
      </c>
      <c r="N305" s="98">
        <v>-3137.6686981888051</v>
      </c>
      <c r="O305" s="98">
        <v>-3137.6686981888051</v>
      </c>
      <c r="P305" s="98">
        <v>11217.756989372738</v>
      </c>
    </row>
    <row r="306" spans="1:16">
      <c r="C306" s="98" t="s">
        <v>215</v>
      </c>
      <c r="D306" s="98">
        <v>0.35</v>
      </c>
    </row>
    <row r="307" spans="1:16">
      <c r="C307" s="98" t="s">
        <v>207</v>
      </c>
      <c r="D307" s="98">
        <v>-11256.66771860796</v>
      </c>
      <c r="E307" s="98">
        <v>-22513.335437215919</v>
      </c>
      <c r="F307" s="98">
        <v>-31947.610451196444</v>
      </c>
      <c r="G307" s="98">
        <v>-35085.279149385249</v>
      </c>
      <c r="H307" s="98">
        <v>-30673.071243398426</v>
      </c>
      <c r="I307" s="98">
        <v>-22017.371082500336</v>
      </c>
      <c r="J307" s="98">
        <v>-13361.670921602246</v>
      </c>
      <c r="K307" s="98">
        <v>-2849.4445119282318</v>
      </c>
      <c r="L307" s="98">
        <v>7662.7818977457828</v>
      </c>
      <c r="M307" s="98">
        <v>17493.094385750348</v>
      </c>
      <c r="N307" s="98">
        <v>14355.425687561543</v>
      </c>
      <c r="O307" s="98">
        <v>11217.756989372738</v>
      </c>
    </row>
    <row r="308" spans="1:16">
      <c r="C308" s="98" t="s">
        <v>208</v>
      </c>
      <c r="D308" s="98">
        <v>-11256.6677</v>
      </c>
      <c r="E308" s="98">
        <v>-11256.6677</v>
      </c>
      <c r="F308" s="98">
        <v>-9434.2749999999996</v>
      </c>
      <c r="G308" s="98">
        <v>-3137.6687000000002</v>
      </c>
      <c r="H308" s="98">
        <v>4412.2079000000003</v>
      </c>
      <c r="I308" s="98">
        <v>8655.7001999999993</v>
      </c>
      <c r="J308" s="98">
        <v>8655.7001999999993</v>
      </c>
      <c r="K308" s="98">
        <v>10512.2264</v>
      </c>
      <c r="L308" s="98">
        <v>7830.2527</v>
      </c>
      <c r="M308" s="98">
        <v>6389.703125</v>
      </c>
      <c r="N308" s="98">
        <v>-3137.6687000000002</v>
      </c>
      <c r="O308" s="98">
        <v>-2068.9187000000002</v>
      </c>
      <c r="P308" s="98">
        <v>6163.9240250000003</v>
      </c>
    </row>
    <row r="309" spans="1:16">
      <c r="C309" s="98" t="s">
        <v>190</v>
      </c>
      <c r="D309" s="98" t="s">
        <v>2</v>
      </c>
      <c r="E309" s="98" t="s">
        <v>2</v>
      </c>
      <c r="F309" s="98" t="s">
        <v>2</v>
      </c>
      <c r="G309" s="98" t="s">
        <v>2</v>
      </c>
      <c r="H309" s="98" t="s">
        <v>2</v>
      </c>
      <c r="I309" s="98" t="s">
        <v>2</v>
      </c>
      <c r="J309" s="98" t="s">
        <v>2</v>
      </c>
      <c r="K309" s="98" t="s">
        <v>2</v>
      </c>
      <c r="L309" s="98" t="s">
        <v>2</v>
      </c>
      <c r="M309" s="98" t="s">
        <v>2</v>
      </c>
      <c r="N309" s="98" t="s">
        <v>2</v>
      </c>
      <c r="O309" s="98" t="s">
        <v>2</v>
      </c>
      <c r="P309" s="98" t="s">
        <v>216</v>
      </c>
    </row>
    <row r="310" spans="1:16">
      <c r="C310" s="98" t="s">
        <v>192</v>
      </c>
      <c r="D310" s="98" t="s">
        <v>138</v>
      </c>
      <c r="E310" s="98" t="s">
        <v>139</v>
      </c>
      <c r="F310" s="98" t="s">
        <v>140</v>
      </c>
      <c r="G310" s="98" t="s">
        <v>141</v>
      </c>
      <c r="H310" s="98" t="s">
        <v>142</v>
      </c>
      <c r="I310" s="98" t="s">
        <v>143</v>
      </c>
      <c r="J310" s="98" t="s">
        <v>144</v>
      </c>
      <c r="K310" s="98" t="s">
        <v>145</v>
      </c>
      <c r="L310" s="98" t="s">
        <v>146</v>
      </c>
      <c r="M310" s="98" t="s">
        <v>147</v>
      </c>
      <c r="N310" s="98" t="s">
        <v>148</v>
      </c>
      <c r="O310" s="98" t="s">
        <v>149</v>
      </c>
      <c r="P310" s="98" t="s">
        <v>193</v>
      </c>
    </row>
    <row r="312" spans="1:16">
      <c r="A312" s="98">
        <v>7</v>
      </c>
      <c r="B312" s="98" t="s">
        <v>217</v>
      </c>
    </row>
    <row r="313" spans="1:16">
      <c r="D313" s="98" t="s">
        <v>218</v>
      </c>
      <c r="E313" s="98" t="s">
        <v>0</v>
      </c>
      <c r="F313" s="98" t="s">
        <v>1</v>
      </c>
      <c r="G313" s="98" t="s">
        <v>216</v>
      </c>
    </row>
    <row r="314" spans="1:16">
      <c r="D314" s="98" t="s">
        <v>193</v>
      </c>
      <c r="E314" s="98" t="s">
        <v>213</v>
      </c>
      <c r="F314" s="98" t="s">
        <v>193</v>
      </c>
      <c r="G314" s="98" t="s">
        <v>193</v>
      </c>
    </row>
    <row r="315" spans="1:16">
      <c r="B315" s="98" t="s">
        <v>151</v>
      </c>
    </row>
    <row r="317" spans="1:16">
      <c r="C317" s="98" t="s">
        <v>196</v>
      </c>
      <c r="D317" s="98">
        <v>62157.960248815507</v>
      </c>
      <c r="E317" s="98">
        <v>19084.118103389806</v>
      </c>
      <c r="F317" s="98">
        <v>21086.67628312813</v>
      </c>
      <c r="G317" s="98">
        <v>21987.165862297563</v>
      </c>
    </row>
    <row r="318" spans="1:16">
      <c r="C318" s="98" t="s">
        <v>23</v>
      </c>
      <c r="D318" s="98">
        <v>248631.84090000001</v>
      </c>
      <c r="E318" s="98">
        <v>76336.472399999999</v>
      </c>
      <c r="F318" s="98">
        <v>84346.705100000006</v>
      </c>
      <c r="G318" s="98">
        <v>87948.663400000005</v>
      </c>
    </row>
    <row r="319" spans="1:16">
      <c r="C319" s="98" t="s">
        <v>197</v>
      </c>
      <c r="D319" s="98">
        <v>72103.233900000007</v>
      </c>
      <c r="E319" s="98">
        <v>22137.577000000001</v>
      </c>
      <c r="F319" s="98">
        <v>24460.5445</v>
      </c>
      <c r="G319" s="98">
        <v>25505.112400000002</v>
      </c>
    </row>
    <row r="320" spans="1:16">
      <c r="C320" s="98" t="s">
        <v>198</v>
      </c>
      <c r="D320" s="98">
        <v>176528.60700000002</v>
      </c>
      <c r="E320" s="98">
        <v>54198.895400000001</v>
      </c>
      <c r="F320" s="98">
        <v>59886.160600000003</v>
      </c>
      <c r="G320" s="98">
        <v>62443.550999999999</v>
      </c>
    </row>
    <row r="321" spans="2:7">
      <c r="B321" s="98" t="s">
        <v>152</v>
      </c>
    </row>
    <row r="323" spans="2:7">
      <c r="C323" s="98" t="s">
        <v>196</v>
      </c>
      <c r="D323" s="98">
        <v>63167.667825796962</v>
      </c>
      <c r="E323" s="98">
        <v>20971.522457446667</v>
      </c>
      <c r="F323" s="98">
        <v>20941.991959272604</v>
      </c>
      <c r="G323" s="98">
        <v>21254.153409077695</v>
      </c>
    </row>
    <row r="324" spans="2:7">
      <c r="C324" s="98" t="s">
        <v>23</v>
      </c>
      <c r="D324" s="98">
        <v>252670.67119999998</v>
      </c>
      <c r="E324" s="98">
        <v>83886.089800000002</v>
      </c>
      <c r="F324" s="98">
        <v>83767.967799999999</v>
      </c>
      <c r="G324" s="98">
        <v>85016.613599999997</v>
      </c>
    </row>
    <row r="325" spans="2:7">
      <c r="C325" s="98" t="s">
        <v>197</v>
      </c>
      <c r="D325" s="98">
        <v>69924.909499999994</v>
      </c>
      <c r="E325" s="98">
        <v>23215.112799999999</v>
      </c>
      <c r="F325" s="98">
        <v>23182.1571</v>
      </c>
      <c r="G325" s="98">
        <v>23527.639599999999</v>
      </c>
    </row>
    <row r="326" spans="2:7">
      <c r="C326" s="98" t="s">
        <v>198</v>
      </c>
      <c r="D326" s="98">
        <v>182745.7617</v>
      </c>
      <c r="E326" s="98">
        <v>60670.976999999999</v>
      </c>
      <c r="F326" s="98">
        <v>60585.810700000002</v>
      </c>
      <c r="G326" s="98">
        <v>61488.974000000002</v>
      </c>
    </row>
    <row r="327" spans="2:7">
      <c r="B327" s="98" t="s">
        <v>153</v>
      </c>
    </row>
    <row r="329" spans="2:7">
      <c r="C329" s="98" t="s">
        <v>196</v>
      </c>
      <c r="D329" s="98">
        <v>24083.668952</v>
      </c>
      <c r="E329" s="98">
        <v>6137.4819900000002</v>
      </c>
      <c r="F329" s="98">
        <v>7245.9823219999998</v>
      </c>
      <c r="G329" s="98">
        <v>10700.20464</v>
      </c>
    </row>
    <row r="330" spans="2:7">
      <c r="C330" s="98" t="s">
        <v>23</v>
      </c>
      <c r="D330" s="98">
        <v>84292.8413</v>
      </c>
      <c r="E330" s="98">
        <v>21481.187000000002</v>
      </c>
      <c r="F330" s="98">
        <v>25360.938099999999</v>
      </c>
      <c r="G330" s="98">
        <v>37450.716200000003</v>
      </c>
    </row>
    <row r="331" spans="2:7">
      <c r="C331" s="98" t="s">
        <v>197</v>
      </c>
      <c r="D331" s="98">
        <v>26492.035899999999</v>
      </c>
      <c r="E331" s="98">
        <v>6751.2302</v>
      </c>
      <c r="F331" s="98">
        <v>7970.5806000000002</v>
      </c>
      <c r="G331" s="98">
        <v>11770.2251</v>
      </c>
    </row>
    <row r="332" spans="2:7">
      <c r="C332" s="98" t="s">
        <v>198</v>
      </c>
      <c r="D332" s="98">
        <v>57800.805500000002</v>
      </c>
      <c r="E332" s="98">
        <v>14729.9568</v>
      </c>
      <c r="F332" s="98">
        <v>17390.357599999999</v>
      </c>
      <c r="G332" s="98">
        <v>25680.491099999999</v>
      </c>
    </row>
    <row r="333" spans="2:7">
      <c r="B333" s="98" t="s">
        <v>154</v>
      </c>
    </row>
    <row r="335" spans="2:7">
      <c r="C335" s="98" t="s">
        <v>196</v>
      </c>
      <c r="D335" s="98">
        <v>19116.355772500003</v>
      </c>
      <c r="E335" s="98">
        <v>5691.7975010000009</v>
      </c>
      <c r="F335" s="98">
        <v>6148.1732475000008</v>
      </c>
      <c r="G335" s="98">
        <v>7276.3850240000002</v>
      </c>
    </row>
    <row r="336" spans="2:7">
      <c r="C336" s="98" t="s">
        <v>23</v>
      </c>
      <c r="D336" s="98">
        <v>66907.24530000001</v>
      </c>
      <c r="E336" s="98">
        <v>19921.291300000001</v>
      </c>
      <c r="F336" s="98">
        <v>21518.606400000001</v>
      </c>
      <c r="G336" s="98">
        <v>25467.347600000001</v>
      </c>
    </row>
    <row r="337" spans="2:7">
      <c r="C337" s="98" t="s">
        <v>197</v>
      </c>
      <c r="D337" s="98">
        <v>21027.991399999999</v>
      </c>
      <c r="E337" s="98">
        <v>6260.9772999999996</v>
      </c>
      <c r="F337" s="98">
        <v>6762.9906000000001</v>
      </c>
      <c r="G337" s="98">
        <v>8004.0235000000002</v>
      </c>
    </row>
    <row r="338" spans="2:7">
      <c r="C338" s="98" t="s">
        <v>198</v>
      </c>
      <c r="D338" s="98">
        <v>45879.253899999996</v>
      </c>
      <c r="E338" s="98">
        <v>13660.314</v>
      </c>
      <c r="F338" s="98">
        <v>14755.6158</v>
      </c>
      <c r="G338" s="98">
        <v>17463.324100000002</v>
      </c>
    </row>
    <row r="339" spans="2:7">
      <c r="B339" s="98" t="s">
        <v>155</v>
      </c>
    </row>
    <row r="341" spans="2:7">
      <c r="C341" s="98" t="s">
        <v>196</v>
      </c>
      <c r="D341" s="98">
        <v>19116.355772500003</v>
      </c>
      <c r="E341" s="98">
        <v>5691.7975010000009</v>
      </c>
      <c r="F341" s="98">
        <v>6148.1732475000008</v>
      </c>
      <c r="G341" s="98">
        <v>7276.3850240000002</v>
      </c>
    </row>
    <row r="342" spans="2:7">
      <c r="C342" s="98" t="s">
        <v>23</v>
      </c>
      <c r="D342" s="98">
        <v>66907.24530000001</v>
      </c>
      <c r="E342" s="98">
        <v>19921.291300000001</v>
      </c>
      <c r="F342" s="98">
        <v>21518.606400000001</v>
      </c>
      <c r="G342" s="98">
        <v>25467.347600000001</v>
      </c>
    </row>
    <row r="343" spans="2:7">
      <c r="C343" s="98" t="s">
        <v>197</v>
      </c>
      <c r="D343" s="98">
        <v>21027.991399999999</v>
      </c>
      <c r="E343" s="98">
        <v>6260.9772999999996</v>
      </c>
      <c r="F343" s="98">
        <v>6762.9906000000001</v>
      </c>
      <c r="G343" s="98">
        <v>8004.0235000000002</v>
      </c>
    </row>
    <row r="344" spans="2:7">
      <c r="C344" s="98" t="s">
        <v>198</v>
      </c>
      <c r="D344" s="98">
        <v>45879.253899999996</v>
      </c>
      <c r="E344" s="98">
        <v>13660.314</v>
      </c>
      <c r="F344" s="98">
        <v>14755.6158</v>
      </c>
      <c r="G344" s="98">
        <v>17463.324100000002</v>
      </c>
    </row>
    <row r="345" spans="2:7">
      <c r="B345" s="98" t="s">
        <v>156</v>
      </c>
    </row>
    <row r="347" spans="2:7">
      <c r="C347" s="98" t="s">
        <v>196</v>
      </c>
      <c r="D347" s="98">
        <v>22687.6967735</v>
      </c>
      <c r="E347" s="98">
        <v>6137.4819900000002</v>
      </c>
      <c r="F347" s="98">
        <v>6148.1732475000008</v>
      </c>
      <c r="G347" s="98">
        <v>10402.041536000001</v>
      </c>
    </row>
    <row r="348" spans="2:7">
      <c r="C348" s="98" t="s">
        <v>23</v>
      </c>
      <c r="D348" s="98">
        <v>79406.938800000004</v>
      </c>
      <c r="E348" s="98">
        <v>21481.187000000002</v>
      </c>
      <c r="F348" s="98">
        <v>21518.606400000001</v>
      </c>
      <c r="G348" s="98">
        <v>36407.145400000001</v>
      </c>
    </row>
    <row r="349" spans="2:7">
      <c r="C349" s="98" t="s">
        <v>197</v>
      </c>
      <c r="D349" s="98">
        <v>24956.466499999999</v>
      </c>
      <c r="E349" s="98">
        <v>6751.2302</v>
      </c>
      <c r="F349" s="98">
        <v>6762.9906000000001</v>
      </c>
      <c r="G349" s="98">
        <v>11442.245699999999</v>
      </c>
    </row>
    <row r="350" spans="2:7">
      <c r="C350" s="98" t="s">
        <v>198</v>
      </c>
      <c r="D350" s="98">
        <v>54450.472300000001</v>
      </c>
      <c r="E350" s="98">
        <v>14729.9568</v>
      </c>
      <c r="F350" s="98">
        <v>14755.6158</v>
      </c>
      <c r="G350" s="98">
        <v>24964.899700000002</v>
      </c>
    </row>
    <row r="351" spans="2:7">
      <c r="B351" s="98" t="s">
        <v>157</v>
      </c>
    </row>
    <row r="353" spans="2:7">
      <c r="C353" s="98" t="s">
        <v>196</v>
      </c>
      <c r="D353" s="98">
        <v>277333.11166318448</v>
      </c>
      <c r="E353" s="98">
        <v>83589.017953610179</v>
      </c>
      <c r="F353" s="98">
        <v>91731.259571871866</v>
      </c>
      <c r="G353" s="98">
        <v>102012.83413770242</v>
      </c>
    </row>
    <row r="354" spans="2:7">
      <c r="C354" s="98" t="s">
        <v>23</v>
      </c>
      <c r="D354" s="98">
        <v>346666.38959999999</v>
      </c>
      <c r="E354" s="98">
        <v>104486.2724</v>
      </c>
      <c r="F354" s="98">
        <v>114664.0745</v>
      </c>
      <c r="G354" s="98">
        <v>127516.04270000001</v>
      </c>
    </row>
    <row r="355" spans="2:7">
      <c r="C355" s="98" t="s">
        <v>197</v>
      </c>
      <c r="D355" s="98">
        <v>296613.42339999997</v>
      </c>
      <c r="E355" s="98">
        <v>89355.031700000007</v>
      </c>
      <c r="F355" s="98">
        <v>98173.180399999997</v>
      </c>
      <c r="G355" s="98">
        <v>109085.2113</v>
      </c>
    </row>
    <row r="356" spans="2:7">
      <c r="C356" s="98" t="s">
        <v>198</v>
      </c>
      <c r="D356" s="98">
        <v>50052.966199999995</v>
      </c>
      <c r="E356" s="98">
        <v>15131.2408</v>
      </c>
      <c r="F356" s="98">
        <v>16490.894</v>
      </c>
      <c r="G356" s="98">
        <v>18430.831399999999</v>
      </c>
    </row>
    <row r="357" spans="2:7">
      <c r="B357" s="98" t="s">
        <v>158</v>
      </c>
    </row>
    <row r="359" spans="2:7">
      <c r="C359" s="98" t="s">
        <v>196</v>
      </c>
      <c r="D359" s="98">
        <v>307592.33217420301</v>
      </c>
      <c r="E359" s="98">
        <v>101788.47754255333</v>
      </c>
      <c r="F359" s="98">
        <v>103058.00804072741</v>
      </c>
      <c r="G359" s="98">
        <v>102745.8465909223</v>
      </c>
    </row>
    <row r="360" spans="2:7">
      <c r="C360" s="98" t="s">
        <v>23</v>
      </c>
      <c r="D360" s="98">
        <v>393718.18520000001</v>
      </c>
      <c r="E360" s="98">
        <v>130289.2513</v>
      </c>
      <c r="F360" s="98">
        <v>131914.25030000001</v>
      </c>
      <c r="G360" s="98">
        <v>131514.68359999999</v>
      </c>
    </row>
    <row r="361" spans="2:7">
      <c r="C361" s="98" t="s">
        <v>197</v>
      </c>
      <c r="D361" s="98">
        <v>329033.74719999998</v>
      </c>
      <c r="E361" s="98">
        <v>108891.7227</v>
      </c>
      <c r="F361" s="98">
        <v>110238.21189999999</v>
      </c>
      <c r="G361" s="98">
        <v>109903.8126</v>
      </c>
    </row>
    <row r="362" spans="2:7">
      <c r="C362" s="98" t="s">
        <v>198</v>
      </c>
      <c r="D362" s="98">
        <v>64684.438000000002</v>
      </c>
      <c r="E362" s="98">
        <v>21397.528600000001</v>
      </c>
      <c r="F362" s="98">
        <v>21676.038400000001</v>
      </c>
      <c r="G362" s="98">
        <v>21610.870999999999</v>
      </c>
    </row>
    <row r="363" spans="2:7">
      <c r="B363" s="98" t="s">
        <v>159</v>
      </c>
    </row>
    <row r="365" spans="2:7">
      <c r="C365" s="98" t="s">
        <v>196</v>
      </c>
      <c r="D365" s="98">
        <v>3775.2414075000015</v>
      </c>
      <c r="E365" s="98">
        <v>1858.6955510000007</v>
      </c>
      <c r="F365" s="98">
        <v>371.56208049999623</v>
      </c>
      <c r="G365" s="98">
        <v>1544.9837760000046</v>
      </c>
    </row>
    <row r="366" spans="2:7">
      <c r="C366" s="98" t="s">
        <v>23</v>
      </c>
      <c r="D366" s="98">
        <v>4719.0517</v>
      </c>
      <c r="E366" s="98">
        <v>2323.3694</v>
      </c>
      <c r="F366" s="98">
        <v>464.45260000000002</v>
      </c>
      <c r="G366" s="98">
        <v>1931.2297000000001</v>
      </c>
    </row>
    <row r="367" spans="2:7">
      <c r="C367" s="98" t="s">
        <v>197</v>
      </c>
      <c r="D367" s="98">
        <v>4172.7268999999997</v>
      </c>
      <c r="E367" s="98">
        <v>2069.3177999999998</v>
      </c>
      <c r="F367" s="98">
        <v>407.7894</v>
      </c>
      <c r="G367" s="98">
        <v>1695.6197</v>
      </c>
    </row>
    <row r="368" spans="2:7">
      <c r="C368" s="98" t="s">
        <v>198</v>
      </c>
      <c r="D368" s="98">
        <v>546.32490000000007</v>
      </c>
      <c r="E368" s="98">
        <v>254.05170000000001</v>
      </c>
      <c r="F368" s="98">
        <v>56.663200000000003</v>
      </c>
      <c r="G368" s="98">
        <v>235.61</v>
      </c>
    </row>
    <row r="370" spans="2:7">
      <c r="C370" s="98" t="s">
        <v>199</v>
      </c>
      <c r="D370" s="98">
        <v>1543920.4092999999</v>
      </c>
      <c r="E370" s="98">
        <v>480126.4118</v>
      </c>
      <c r="F370" s="98">
        <v>505074.20760000002</v>
      </c>
      <c r="G370" s="98">
        <v>558719.78989999997</v>
      </c>
    </row>
    <row r="371" spans="2:7">
      <c r="C371" s="98" t="s">
        <v>200</v>
      </c>
      <c r="D371" s="98">
        <v>865352.52579999994</v>
      </c>
      <c r="E371" s="98">
        <v>271693.17680000002</v>
      </c>
      <c r="F371" s="98">
        <v>284721.43560000003</v>
      </c>
      <c r="G371" s="98">
        <v>308937.91340000002</v>
      </c>
    </row>
    <row r="372" spans="2:7">
      <c r="C372" s="98" t="s">
        <v>201</v>
      </c>
      <c r="D372" s="98">
        <v>678567.8835</v>
      </c>
      <c r="E372" s="98">
        <v>208433.23499999999</v>
      </c>
      <c r="F372" s="98">
        <v>220352.772</v>
      </c>
      <c r="G372" s="98">
        <v>249781.87650000001</v>
      </c>
    </row>
    <row r="374" spans="2:7">
      <c r="B374" s="98" t="s">
        <v>202</v>
      </c>
    </row>
    <row r="375" spans="2:7">
      <c r="C375" s="98" t="s">
        <v>181</v>
      </c>
      <c r="D375" s="98">
        <v>390000</v>
      </c>
      <c r="E375" s="98">
        <v>130000</v>
      </c>
      <c r="F375" s="98">
        <v>130000</v>
      </c>
      <c r="G375" s="98">
        <v>130000</v>
      </c>
    </row>
    <row r="376" spans="2:7">
      <c r="C376" s="98" t="s">
        <v>182</v>
      </c>
      <c r="D376" s="98">
        <v>100500</v>
      </c>
      <c r="E376" s="98">
        <v>33500</v>
      </c>
      <c r="F376" s="98">
        <v>33500</v>
      </c>
      <c r="G376" s="98">
        <v>33500</v>
      </c>
    </row>
    <row r="377" spans="2:7">
      <c r="C377" s="98" t="s">
        <v>183</v>
      </c>
      <c r="D377" s="98">
        <v>114000</v>
      </c>
      <c r="E377" s="98">
        <v>38000</v>
      </c>
      <c r="F377" s="98">
        <v>38000</v>
      </c>
      <c r="G377" s="98">
        <v>38000</v>
      </c>
    </row>
    <row r="378" spans="2:7">
      <c r="C378" s="98" t="s">
        <v>184</v>
      </c>
      <c r="D378" s="98">
        <v>15000</v>
      </c>
      <c r="E378" s="98">
        <v>5000</v>
      </c>
      <c r="F378" s="98">
        <v>5000</v>
      </c>
      <c r="G378" s="98">
        <v>5000</v>
      </c>
    </row>
    <row r="380" spans="2:7">
      <c r="C380" s="98" t="s">
        <v>204</v>
      </c>
      <c r="D380" s="98">
        <v>57717.358500000002</v>
      </c>
      <c r="E380" s="98">
        <v>19239.119500000001</v>
      </c>
      <c r="F380" s="98">
        <v>19239.119500000001</v>
      </c>
      <c r="G380" s="98">
        <v>19239.119500000001</v>
      </c>
    </row>
    <row r="382" spans="2:7">
      <c r="C382" s="98" t="s">
        <v>6</v>
      </c>
      <c r="D382" s="98">
        <v>711792.35849999997</v>
      </c>
      <c r="E382" s="98">
        <v>233239.1195</v>
      </c>
      <c r="F382" s="98">
        <v>239989.1195</v>
      </c>
      <c r="G382" s="98">
        <v>238564.1195</v>
      </c>
    </row>
    <row r="384" spans="2:7">
      <c r="C384" s="98" t="s">
        <v>20</v>
      </c>
      <c r="D384" s="98">
        <v>34575</v>
      </c>
      <c r="E384" s="98">
        <v>7500</v>
      </c>
      <c r="F384" s="98">
        <v>14250</v>
      </c>
      <c r="G384" s="98">
        <v>12825</v>
      </c>
    </row>
    <row r="385" spans="3:7">
      <c r="C385" s="98" t="s">
        <v>205</v>
      </c>
      <c r="D385" s="98">
        <v>-33224.475000000006</v>
      </c>
      <c r="E385" s="98">
        <v>-24805.8845</v>
      </c>
      <c r="F385" s="98">
        <v>-19636.3475</v>
      </c>
      <c r="G385" s="98">
        <v>11217.757</v>
      </c>
    </row>
    <row r="388" spans="3:7">
      <c r="C388" s="98" t="s">
        <v>208</v>
      </c>
      <c r="D388" s="98">
        <v>-36465.808300000004</v>
      </c>
      <c r="E388" s="98">
        <v>-24180.8845</v>
      </c>
      <c r="F388" s="98">
        <v>-18448.8478</v>
      </c>
      <c r="G388" s="98">
        <v>6163.924</v>
      </c>
    </row>
    <row r="389" spans="3:7">
      <c r="C389" s="98" t="s">
        <v>190</v>
      </c>
      <c r="D389" s="98" t="s">
        <v>219</v>
      </c>
      <c r="E389" s="98" t="s">
        <v>0</v>
      </c>
      <c r="F389" s="98" t="s">
        <v>1</v>
      </c>
      <c r="G389" s="98" t="s">
        <v>216</v>
      </c>
    </row>
  </sheetData>
  <sheetProtection algorithmName="SHA-512" hashValue="ozxm1cDlozRLm/3Q9pyVAh6MUFtxSRnMNShgHuYeCRr86fSIkuyA18Hxszm7IQyqqS4Qnl92s8MyFLelKyFXJw==" saltValue="Vd2WnoXzTp8SzgeCioXEnw==" spinCount="100000" sheet="1" objects="1" scenarios="1"/>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59999389629810485"/>
  </sheetPr>
  <dimension ref="A1:J35"/>
  <sheetViews>
    <sheetView zoomScale="115" zoomScaleNormal="115" workbookViewId="0">
      <selection activeCell="E25" sqref="E25"/>
    </sheetView>
  </sheetViews>
  <sheetFormatPr defaultColWidth="8.81640625" defaultRowHeight="10"/>
  <cols>
    <col min="1" max="1" width="31.453125" style="27" customWidth="1"/>
    <col min="2" max="4" width="15.7265625" style="27" bestFit="1" customWidth="1"/>
    <col min="5" max="5" width="17.1796875" style="27" bestFit="1" customWidth="1"/>
    <col min="6" max="6" width="9.1796875" style="27" customWidth="1"/>
    <col min="7" max="7" width="12.7265625" style="27" customWidth="1"/>
    <col min="8" max="8" width="5.7265625" style="27" customWidth="1"/>
    <col min="9" max="9" width="14.81640625" style="27" customWidth="1"/>
    <col min="10" max="10" width="9.54296875" style="27" bestFit="1" customWidth="1"/>
    <col min="11" max="18" width="8.81640625" style="27"/>
    <col min="19" max="19" width="8.54296875" style="27" customWidth="1"/>
    <col min="20" max="16384" width="8.81640625" style="27"/>
  </cols>
  <sheetData>
    <row r="1" spans="1:10" ht="15.5">
      <c r="A1" s="41" t="s">
        <v>75</v>
      </c>
    </row>
    <row r="2" spans="1:10" ht="10.5" thickBot="1">
      <c r="B2" s="1"/>
    </row>
    <row r="3" spans="1:10" ht="11" thickBot="1">
      <c r="A3" s="2"/>
      <c r="B3" s="43" t="s">
        <v>0</v>
      </c>
      <c r="C3" s="43" t="s">
        <v>1</v>
      </c>
      <c r="D3" s="44" t="s">
        <v>2</v>
      </c>
      <c r="G3" s="6"/>
      <c r="H3" s="6"/>
      <c r="I3" s="6"/>
      <c r="J3" s="6"/>
    </row>
    <row r="4" spans="1:10" ht="10.5">
      <c r="A4" s="15" t="s">
        <v>72</v>
      </c>
      <c r="B4" s="96">
        <f>VLOOKUP("Profit (Before Taxes)",PrFFY1,14,FALSE)</f>
        <v>-24805.884497590869</v>
      </c>
      <c r="C4" s="96">
        <f>VLOOKUP("Profit (Before Taxes)",PrFFY2,14,FALSE)</f>
        <v>-19636.347522335778</v>
      </c>
      <c r="D4" s="166">
        <f>VLOOKUP("Profit (Before Taxes)",PrFFY3,14,FALSE)</f>
        <v>11217.756989372738</v>
      </c>
      <c r="G4" s="6"/>
      <c r="H4" s="7"/>
      <c r="I4" s="7"/>
      <c r="J4" s="7"/>
    </row>
    <row r="5" spans="1:10" ht="10.5">
      <c r="A5" s="16" t="s">
        <v>3</v>
      </c>
      <c r="B5" s="72">
        <f>VLOOKUP("Profit Taxes",PrFFY1,2,FALSE)</f>
        <v>0.35</v>
      </c>
      <c r="C5" s="72">
        <f>VLOOKUP("Profit Taxes",PrFFY2,2,FALSE)</f>
        <v>0.35</v>
      </c>
      <c r="D5" s="167">
        <f>VLOOKUP("Profit Taxes",PrFFY3,2,FALSE)</f>
        <v>0.35</v>
      </c>
      <c r="E5" s="68"/>
      <c r="G5" s="6"/>
      <c r="H5" s="8"/>
      <c r="I5" s="8"/>
      <c r="J5" s="8"/>
    </row>
    <row r="6" spans="1:10" ht="10.5">
      <c r="A6" s="16" t="s">
        <v>4</v>
      </c>
      <c r="B6" s="67">
        <f>VLOOKUP("Profit (Before Taxes)",PrFFY1,14,FALSE)-VLOOKUP("Profit (After Taxes)",PrFFY1,14,FALSE)</f>
        <v>-624.99999759087586</v>
      </c>
      <c r="C6" s="67">
        <f>VLOOKUP("Profit (Before Taxes)",PrFFY2,14,FALSE)-VLOOKUP("Profit (After Taxes)",PrFFY2,14,FALSE)</f>
        <v>-1187.4997223357823</v>
      </c>
      <c r="D6" s="168">
        <f>VLOOKUP("Profit (Before Taxes)",PrFFY3,14,FALSE)-VLOOKUP("Profit (After Taxes)",PrFFY3,14,FALSE)</f>
        <v>5053.8329643727375</v>
      </c>
      <c r="G6" s="8"/>
      <c r="H6" s="8"/>
      <c r="I6" s="8"/>
      <c r="J6" s="8"/>
    </row>
    <row r="7" spans="1:10" ht="11" thickBot="1">
      <c r="A7" s="17" t="s">
        <v>73</v>
      </c>
      <c r="B7" s="141">
        <f>B4-B6</f>
        <v>-24180.884499999993</v>
      </c>
      <c r="C7" s="141">
        <f>C4-C6</f>
        <v>-18448.847799999996</v>
      </c>
      <c r="D7" s="142">
        <f>D4-D6</f>
        <v>6163.9240250000003</v>
      </c>
      <c r="G7" s="8"/>
      <c r="H7" s="8"/>
      <c r="I7" s="8"/>
      <c r="J7" s="8"/>
    </row>
    <row r="8" spans="1:10" ht="10.5" thickBot="1">
      <c r="B8" s="140"/>
      <c r="G8" s="8"/>
      <c r="H8" s="8"/>
      <c r="I8" s="8"/>
      <c r="J8" s="8"/>
    </row>
    <row r="9" spans="1:10" ht="10.5">
      <c r="A9" s="28" t="s">
        <v>10</v>
      </c>
      <c r="B9" s="45" t="s">
        <v>0</v>
      </c>
      <c r="C9" s="45" t="s">
        <v>1</v>
      </c>
      <c r="D9" s="45" t="s">
        <v>2</v>
      </c>
      <c r="E9" s="46" t="s">
        <v>25</v>
      </c>
      <c r="G9" s="6"/>
      <c r="H9" s="8"/>
      <c r="I9" s="8"/>
      <c r="J9" s="8"/>
    </row>
    <row r="10" spans="1:10" ht="10.5">
      <c r="A10" s="36" t="s">
        <v>23</v>
      </c>
      <c r="B10" s="159">
        <f>VLOOKUP("Total Revenue",PrFFY1,14,FALSE)</f>
        <v>480126.4118155769</v>
      </c>
      <c r="C10" s="159">
        <f>VLOOKUP("Total Revenue",PrFFY2,14,FALSE)</f>
        <v>505074.20755294885</v>
      </c>
      <c r="D10" s="159">
        <f>VLOOKUP("Total Revenue",PrFFY3,14,FALSE)</f>
        <v>558719.78989800962</v>
      </c>
      <c r="E10" s="144">
        <f>B10+C10+D10</f>
        <v>1543920.4092665352</v>
      </c>
      <c r="G10" s="8"/>
      <c r="H10" s="9"/>
      <c r="I10" s="10"/>
      <c r="J10" s="10"/>
    </row>
    <row r="11" spans="1:10" ht="10.5" thickBot="1">
      <c r="A11" s="37" t="s">
        <v>29</v>
      </c>
      <c r="B11" s="160">
        <f>VLOOKUP("Total Expenses",PrFFY1,14,FALSE)</f>
        <v>271693.17683726887</v>
      </c>
      <c r="C11" s="161">
        <f>VLOOKUP("Total Expenses",PrFFY2,14,FALSE)</f>
        <v>284721.43559938576</v>
      </c>
      <c r="D11" s="161">
        <f>VLOOKUP("Total Expenses",PrFFY3,14,FALSE)</f>
        <v>308937.91343273799</v>
      </c>
      <c r="E11" s="162">
        <f>B11+C11+D11</f>
        <v>865352.52586939256</v>
      </c>
      <c r="G11" s="40"/>
      <c r="H11" s="40"/>
      <c r="I11" s="40"/>
      <c r="J11" s="10"/>
    </row>
    <row r="12" spans="1:10" ht="10.5" thickTop="1">
      <c r="A12" s="38" t="s">
        <v>24</v>
      </c>
      <c r="B12" s="143">
        <f>B10-B11</f>
        <v>208433.23497830803</v>
      </c>
      <c r="C12" s="143">
        <f>C10-C11</f>
        <v>220352.77195356309</v>
      </c>
      <c r="D12" s="143">
        <f>D10-D11</f>
        <v>249781.87646527163</v>
      </c>
      <c r="E12" s="144">
        <f>B12+C12+D12</f>
        <v>678567.88339714275</v>
      </c>
      <c r="H12" s="11"/>
      <c r="I12" s="11"/>
      <c r="J12" s="12"/>
    </row>
    <row r="13" spans="1:10">
      <c r="A13" s="31" t="s">
        <v>22</v>
      </c>
      <c r="B13" s="60"/>
      <c r="C13" s="60"/>
      <c r="D13" s="60"/>
      <c r="E13" s="59"/>
      <c r="H13" s="10"/>
      <c r="I13" s="10"/>
      <c r="J13" s="10"/>
    </row>
    <row r="14" spans="1:10">
      <c r="A14" s="21" t="s">
        <v>5</v>
      </c>
      <c r="B14" s="97">
        <f>VLOOKUP("Rent",PrFFY1,14,FALSE)</f>
        <v>5000</v>
      </c>
      <c r="C14" s="97">
        <f>VLOOKUP("Rent",PrFFY2,14,FALSE)</f>
        <v>5000</v>
      </c>
      <c r="D14" s="97">
        <f>VLOOKUP("Rent",PrFFY3,14,FALSE)</f>
        <v>5000</v>
      </c>
      <c r="E14" s="149">
        <f t="shared" ref="E14:E23" si="0">B14+C14+D14</f>
        <v>15000</v>
      </c>
      <c r="G14" s="13"/>
      <c r="H14" s="10"/>
      <c r="I14" s="10"/>
      <c r="J14" s="10"/>
    </row>
    <row r="15" spans="1:10">
      <c r="A15" s="21" t="s">
        <v>85</v>
      </c>
      <c r="B15" s="97">
        <f>VLOOKUP("Employees Salaries",PrFFY1,14,FALSE)</f>
        <v>129999.99999999999</v>
      </c>
      <c r="C15" s="97">
        <f>VLOOKUP("Employees Salaries",PrFFY2,14,FALSE)</f>
        <v>129999.99999999999</v>
      </c>
      <c r="D15" s="97">
        <f>VLOOKUP("Employees Salaries",PrFFY3,14,FALSE)</f>
        <v>129999.99999999999</v>
      </c>
      <c r="E15" s="149">
        <f t="shared" si="0"/>
        <v>389999.99999999994</v>
      </c>
      <c r="G15" s="13"/>
      <c r="H15" s="10"/>
      <c r="I15" s="10"/>
      <c r="J15" s="10"/>
    </row>
    <row r="16" spans="1:10">
      <c r="A16" s="21" t="s">
        <v>86</v>
      </c>
      <c r="B16" s="97">
        <f>VLOOKUP("Utilities&amp;Other",PrFFY1,14,FALSE)</f>
        <v>33500.000000000007</v>
      </c>
      <c r="C16" s="97">
        <f>VLOOKUP("Utilities&amp;Other",PrFFY2,14,FALSE)</f>
        <v>33500.000000000007</v>
      </c>
      <c r="D16" s="97">
        <f>VLOOKUP("Utilities&amp;Other",PrFFY3,14,FALSE)</f>
        <v>33500.000000000007</v>
      </c>
      <c r="E16" s="149">
        <f t="shared" si="0"/>
        <v>100500.00000000003</v>
      </c>
      <c r="G16" s="13"/>
      <c r="H16" s="10"/>
      <c r="I16" s="10"/>
      <c r="J16" s="10"/>
    </row>
    <row r="17" spans="1:10">
      <c r="A17" s="21" t="s">
        <v>87</v>
      </c>
      <c r="B17" s="97">
        <f>VLOOKUP("Marketing Costs",PrFFY1,14,FALSE)</f>
        <v>38000</v>
      </c>
      <c r="C17" s="97">
        <f>VLOOKUP("Marketing Costs",PrFFY2,14,FALSE)</f>
        <v>38000</v>
      </c>
      <c r="D17" s="97">
        <f>VLOOKUP("Marketing Costs",PrFFY3,14,FALSE)</f>
        <v>38000</v>
      </c>
      <c r="E17" s="149">
        <f t="shared" si="0"/>
        <v>114000</v>
      </c>
      <c r="G17" s="13"/>
      <c r="H17" s="10"/>
      <c r="I17" s="10"/>
      <c r="J17" s="10"/>
    </row>
    <row r="18" spans="1:10">
      <c r="A18" s="21" t="s">
        <v>88</v>
      </c>
      <c r="B18" s="97">
        <f>VLOOKUP("Loan Payments",PrFFY1,14,FALSE)</f>
        <v>19239.119475898875</v>
      </c>
      <c r="C18" s="97">
        <f>VLOOKUP("Loan Payments",PrFFY2,14,FALSE)</f>
        <v>19239.119475898875</v>
      </c>
      <c r="D18" s="97">
        <f>VLOOKUP("Loan Payments",PrFFY3,14,FALSE)</f>
        <v>19239.119475898875</v>
      </c>
      <c r="E18" s="149">
        <f t="shared" si="0"/>
        <v>57717.358427696628</v>
      </c>
      <c r="G18" s="13"/>
      <c r="H18" s="10"/>
      <c r="I18" s="10"/>
      <c r="J18" s="10"/>
    </row>
    <row r="19" spans="1:10">
      <c r="A19" s="21" t="s">
        <v>221</v>
      </c>
      <c r="B19" s="97">
        <f>VLOOKUP("Depreciation",PrFFY1,14,0)</f>
        <v>7500</v>
      </c>
      <c r="C19" s="97">
        <f>VLOOKUP("Depreciation",PrFFY2,14,0)</f>
        <v>14250</v>
      </c>
      <c r="D19" s="97">
        <f>VLOOKUP("Depreciation",PrFFY3,14,0)</f>
        <v>12825.000000000002</v>
      </c>
      <c r="E19" s="149">
        <f t="shared" si="0"/>
        <v>34575</v>
      </c>
      <c r="G19" s="13"/>
      <c r="H19" s="10"/>
      <c r="I19" s="10"/>
      <c r="J19" s="10"/>
    </row>
    <row r="20" spans="1:10">
      <c r="A20" s="29" t="s">
        <v>6</v>
      </c>
      <c r="B20" s="139">
        <f>SUM(B14:B19)</f>
        <v>233239.11947589889</v>
      </c>
      <c r="C20" s="139">
        <f t="shared" ref="C20:D20" si="1">SUM(C14:C19)</f>
        <v>239989.11947589889</v>
      </c>
      <c r="D20" s="139">
        <f t="shared" si="1"/>
        <v>238564.11947589889</v>
      </c>
      <c r="E20" s="149">
        <f t="shared" si="0"/>
        <v>711792.35842769663</v>
      </c>
    </row>
    <row r="21" spans="1:10">
      <c r="A21" s="30" t="s">
        <v>69</v>
      </c>
      <c r="B21" s="62"/>
      <c r="C21" s="62"/>
      <c r="D21" s="62"/>
      <c r="E21" s="63"/>
    </row>
    <row r="22" spans="1:10">
      <c r="A22" s="31" t="s">
        <v>70</v>
      </c>
      <c r="B22" s="147">
        <f>B20+B11</f>
        <v>504932.29631316778</v>
      </c>
      <c r="C22" s="147">
        <f>C20+C11</f>
        <v>524710.55507528468</v>
      </c>
      <c r="D22" s="147">
        <f>D20+D11</f>
        <v>547502.03290863684</v>
      </c>
      <c r="E22" s="148">
        <f>E20+E11</f>
        <v>1577144.8842970892</v>
      </c>
    </row>
    <row r="23" spans="1:10" ht="10.5">
      <c r="A23" s="20" t="s">
        <v>9</v>
      </c>
      <c r="B23" s="143">
        <f>B12-B20</f>
        <v>-24805.884497590858</v>
      </c>
      <c r="C23" s="143">
        <f>C12-C20</f>
        <v>-19636.347522335796</v>
      </c>
      <c r="D23" s="143">
        <f>D12-D20</f>
        <v>11217.756989372749</v>
      </c>
      <c r="E23" s="144">
        <f t="shared" si="0"/>
        <v>-33224.475030553906</v>
      </c>
    </row>
    <row r="24" spans="1:10" ht="10.5">
      <c r="A24" s="32" t="s">
        <v>68</v>
      </c>
      <c r="B24" s="61"/>
      <c r="C24" s="61"/>
      <c r="D24" s="61"/>
      <c r="E24" s="64"/>
    </row>
    <row r="25" spans="1:10">
      <c r="A25" s="33" t="s">
        <v>71</v>
      </c>
      <c r="B25" s="73">
        <f>B5</f>
        <v>0.35</v>
      </c>
      <c r="C25" s="73">
        <f>C5</f>
        <v>0.35</v>
      </c>
      <c r="D25" s="73">
        <f>D5</f>
        <v>0.35</v>
      </c>
      <c r="E25" s="74">
        <f>SUM(B25:D25)/3</f>
        <v>0.34999999999999992</v>
      </c>
      <c r="F25" s="68"/>
    </row>
    <row r="26" spans="1:10" ht="10.5" thickBot="1">
      <c r="A26" s="34" t="s">
        <v>4</v>
      </c>
      <c r="B26" s="65">
        <f>B6</f>
        <v>-624.99999759087586</v>
      </c>
      <c r="C26" s="65">
        <f t="shared" ref="C26:D26" si="2">C6</f>
        <v>-1187.4997223357823</v>
      </c>
      <c r="D26" s="65">
        <f t="shared" si="2"/>
        <v>5053.8329643727375</v>
      </c>
      <c r="E26" s="66">
        <f>B26+C26+D26</f>
        <v>3241.3332444460793</v>
      </c>
    </row>
    <row r="27" spans="1:10" ht="11.5" thickTop="1" thickBot="1">
      <c r="A27" s="35" t="s">
        <v>225</v>
      </c>
      <c r="B27" s="145">
        <f>B23-B26</f>
        <v>-24180.884499999982</v>
      </c>
      <c r="C27" s="145">
        <f t="shared" ref="C27:D27" si="3">C23-C26</f>
        <v>-18448.847800000014</v>
      </c>
      <c r="D27" s="145">
        <f t="shared" si="3"/>
        <v>6163.9240250000112</v>
      </c>
      <c r="E27" s="146">
        <f>B27+C27+D27</f>
        <v>-36465.808274999988</v>
      </c>
    </row>
    <row r="29" spans="1:10" ht="11.25" customHeight="1">
      <c r="A29" s="174" t="s">
        <v>77</v>
      </c>
      <c r="B29" s="174"/>
      <c r="C29" s="174"/>
      <c r="D29" s="174"/>
      <c r="E29" s="174"/>
      <c r="F29" s="165"/>
    </row>
    <row r="30" spans="1:10">
      <c r="A30" s="174"/>
      <c r="B30" s="174"/>
      <c r="C30" s="174"/>
      <c r="D30" s="174"/>
      <c r="E30" s="174"/>
      <c r="F30" s="165"/>
    </row>
    <row r="31" spans="1:10">
      <c r="A31" s="176"/>
      <c r="B31" s="176"/>
      <c r="C31" s="176"/>
      <c r="D31" s="176"/>
      <c r="E31" s="176"/>
    </row>
    <row r="32" spans="1:10" ht="11.25" customHeight="1">
      <c r="A32" s="175" t="s">
        <v>74</v>
      </c>
      <c r="B32" s="175"/>
      <c r="C32" s="175"/>
      <c r="D32" s="175"/>
      <c r="E32" s="175"/>
      <c r="F32" s="164"/>
    </row>
    <row r="33" spans="1:8" ht="10.15" customHeight="1">
      <c r="A33" s="175"/>
      <c r="B33" s="175"/>
      <c r="C33" s="175"/>
      <c r="D33" s="175"/>
      <c r="E33" s="175"/>
      <c r="F33" s="164"/>
      <c r="G33" s="47"/>
      <c r="H33" s="47"/>
    </row>
    <row r="34" spans="1:8">
      <c r="A34" s="75"/>
      <c r="B34" s="75"/>
      <c r="C34" s="75"/>
      <c r="D34" s="75"/>
      <c r="E34" s="75"/>
      <c r="F34" s="47"/>
      <c r="G34" s="47"/>
      <c r="H34" s="47"/>
    </row>
    <row r="35" spans="1:8">
      <c r="A35" s="75"/>
      <c r="B35" s="75"/>
      <c r="C35" s="75"/>
      <c r="D35" s="75"/>
      <c r="E35" s="75"/>
    </row>
  </sheetData>
  <mergeCells count="3">
    <mergeCell ref="A29:E30"/>
    <mergeCell ref="A32:E33"/>
    <mergeCell ref="A31:E31"/>
  </mergeCells>
  <pageMargins left="0.45" right="0.45" top="0.5" bottom="0.5" header="0.05"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6" tint="-0.249977111117893"/>
  </sheetPr>
  <dimension ref="B1:M26"/>
  <sheetViews>
    <sheetView topLeftCell="B1" workbookViewId="0">
      <selection activeCell="C18" sqref="C18"/>
    </sheetView>
  </sheetViews>
  <sheetFormatPr defaultColWidth="8.81640625" defaultRowHeight="10"/>
  <cols>
    <col min="1" max="1" width="8.81640625" style="27"/>
    <col min="2" max="2" width="37.26953125" style="27" bestFit="1" customWidth="1"/>
    <col min="3" max="3" width="11.453125" style="27" customWidth="1"/>
    <col min="4" max="4" width="18.7265625" style="27" customWidth="1"/>
    <col min="5" max="5" width="17.26953125" style="27" customWidth="1"/>
    <col min="6" max="6" width="11.54296875" style="27" customWidth="1"/>
    <col min="7" max="7" width="9.26953125" style="27" bestFit="1" customWidth="1"/>
    <col min="8" max="9" width="8.81640625" style="27"/>
    <col min="10" max="10" width="11.7265625" style="27" bestFit="1" customWidth="1"/>
    <col min="11" max="13" width="10.1796875" style="27" bestFit="1" customWidth="1"/>
    <col min="14" max="16384" width="8.81640625" style="27"/>
  </cols>
  <sheetData>
    <row r="1" spans="2:13" ht="16" thickBot="1">
      <c r="B1" s="41" t="s">
        <v>76</v>
      </c>
    </row>
    <row r="2" spans="2:13" ht="11" thickBot="1">
      <c r="B2" s="24" t="s">
        <v>11</v>
      </c>
      <c r="C2" s="48" t="s">
        <v>0</v>
      </c>
      <c r="D2" s="49" t="s">
        <v>1</v>
      </c>
      <c r="E2" s="50" t="s">
        <v>2</v>
      </c>
    </row>
    <row r="3" spans="2:13" ht="10.5">
      <c r="B3" s="19" t="s">
        <v>79</v>
      </c>
      <c r="C3" s="150">
        <v>0</v>
      </c>
      <c r="D3" s="151">
        <f>C21</f>
        <v>-144180.88449999999</v>
      </c>
      <c r="E3" s="152">
        <f>D21</f>
        <v>-162629.73229999997</v>
      </c>
    </row>
    <row r="4" spans="2:13" ht="10.5">
      <c r="B4" s="20" t="s">
        <v>223</v>
      </c>
      <c r="C4" s="104">
        <f>C5</f>
        <v>480126.4118155769</v>
      </c>
      <c r="D4" s="104">
        <f>D5</f>
        <v>505074.20755294885</v>
      </c>
      <c r="E4" s="156">
        <f>E5</f>
        <v>558719.78989800962</v>
      </c>
      <c r="F4" s="42"/>
      <c r="M4" s="18"/>
    </row>
    <row r="5" spans="2:13">
      <c r="B5" s="5" t="s">
        <v>12</v>
      </c>
      <c r="C5" s="104">
        <f>'Pro-Forma Income statement'!B10</f>
        <v>480126.4118155769</v>
      </c>
      <c r="D5" s="104">
        <f>'Pro-Forma Income statement'!C10</f>
        <v>505074.20755294885</v>
      </c>
      <c r="E5" s="156">
        <f>'Pro-Forma Income statement'!D10</f>
        <v>558719.78989800962</v>
      </c>
      <c r="F5" s="42"/>
    </row>
    <row r="6" spans="2:13">
      <c r="B6" s="5"/>
      <c r="C6" s="104"/>
      <c r="D6" s="104"/>
      <c r="E6" s="156"/>
      <c r="F6" s="42"/>
    </row>
    <row r="7" spans="2:13" ht="10.5">
      <c r="B7" s="20" t="s">
        <v>13</v>
      </c>
      <c r="C7" s="104">
        <f>C3+C5</f>
        <v>480126.4118155769</v>
      </c>
      <c r="D7" s="104">
        <f>D3+D5</f>
        <v>360893.32305294886</v>
      </c>
      <c r="E7" s="156">
        <f>E3+E5</f>
        <v>396090.05759800965</v>
      </c>
      <c r="F7" s="42"/>
    </row>
    <row r="8" spans="2:13" ht="10.5">
      <c r="B8" s="158" t="s">
        <v>14</v>
      </c>
      <c r="C8" s="154"/>
      <c r="D8" s="154"/>
      <c r="E8" s="155"/>
      <c r="F8" s="42"/>
    </row>
    <row r="9" spans="2:13" ht="10.5">
      <c r="B9" s="20" t="s">
        <v>15</v>
      </c>
      <c r="C9" s="104">
        <f>'Pro-Forma Income statement'!B11</f>
        <v>271693.17683726887</v>
      </c>
      <c r="D9" s="104">
        <f>'Pro-Forma Income statement'!C11</f>
        <v>284721.43559938576</v>
      </c>
      <c r="E9" s="156">
        <f>'Pro-Forma Income statement'!D11</f>
        <v>308937.91343273799</v>
      </c>
      <c r="F9" s="42"/>
    </row>
    <row r="10" spans="2:13" ht="10.5">
      <c r="B10" s="20" t="s">
        <v>222</v>
      </c>
      <c r="C10" s="104">
        <f>'Pro-Forma Income statement'!B26</f>
        <v>-624.99999759087586</v>
      </c>
      <c r="D10" s="104">
        <f>'Pro-Forma Income statement'!C26</f>
        <v>-1187.4997223357823</v>
      </c>
      <c r="E10" s="156">
        <f>'Pro-Forma Income statement'!D26</f>
        <v>5053.8329643727375</v>
      </c>
      <c r="F10" s="10"/>
      <c r="J10" s="10"/>
      <c r="K10" s="10"/>
      <c r="L10" s="10"/>
    </row>
    <row r="11" spans="2:13" ht="10.5">
      <c r="B11" s="20" t="s">
        <v>16</v>
      </c>
      <c r="C11" s="104"/>
      <c r="D11" s="104"/>
      <c r="E11" s="156"/>
      <c r="F11" s="42"/>
      <c r="J11" s="10"/>
      <c r="K11" s="10"/>
      <c r="L11" s="10"/>
    </row>
    <row r="12" spans="2:13">
      <c r="B12" s="53" t="s">
        <v>17</v>
      </c>
      <c r="C12" s="154">
        <f>'Pro-Forma Income statement'!B14</f>
        <v>5000</v>
      </c>
      <c r="D12" s="154">
        <f>'Pro-Forma Income statement'!C14</f>
        <v>5000</v>
      </c>
      <c r="E12" s="155">
        <f>'Pro-Forma Income statement'!D14</f>
        <v>5000</v>
      </c>
      <c r="F12" s="10"/>
      <c r="J12" s="10"/>
      <c r="K12" s="10"/>
      <c r="L12" s="10"/>
    </row>
    <row r="13" spans="2:13">
      <c r="B13" s="21" t="s">
        <v>90</v>
      </c>
      <c r="C13" s="104">
        <f>'Pro-Forma Income statement'!B15</f>
        <v>129999.99999999999</v>
      </c>
      <c r="D13" s="104">
        <f>'Pro-Forma Income statement'!C15</f>
        <v>129999.99999999999</v>
      </c>
      <c r="E13" s="156">
        <f>'Pro-Forma Income statement'!D15</f>
        <v>129999.99999999999</v>
      </c>
      <c r="F13" s="10"/>
      <c r="J13" s="10"/>
      <c r="K13" s="10"/>
      <c r="L13" s="10"/>
    </row>
    <row r="14" spans="2:13">
      <c r="B14" s="21" t="s">
        <v>86</v>
      </c>
      <c r="C14" s="104">
        <f>'Pro-Forma Income statement'!B16</f>
        <v>33500.000000000007</v>
      </c>
      <c r="D14" s="104">
        <f>'Pro-Forma Income statement'!C16</f>
        <v>33500.000000000007</v>
      </c>
      <c r="E14" s="156">
        <f>'Pro-Forma Income statement'!D16</f>
        <v>33500.000000000007</v>
      </c>
      <c r="F14" s="10"/>
      <c r="J14" s="10"/>
      <c r="K14" s="10"/>
      <c r="L14" s="10"/>
    </row>
    <row r="15" spans="2:13">
      <c r="B15" s="21" t="s">
        <v>87</v>
      </c>
      <c r="C15" s="104">
        <f>'Pro-Forma Income statement'!B17</f>
        <v>38000</v>
      </c>
      <c r="D15" s="104">
        <f>'Pro-Forma Income statement'!C17</f>
        <v>38000</v>
      </c>
      <c r="E15" s="156">
        <f>'Pro-Forma Income statement'!D17</f>
        <v>38000</v>
      </c>
      <c r="F15" s="10"/>
      <c r="J15" s="10"/>
      <c r="K15" s="10"/>
      <c r="L15" s="10"/>
    </row>
    <row r="16" spans="2:13">
      <c r="B16" s="22" t="s">
        <v>89</v>
      </c>
      <c r="C16" s="104">
        <f>'Pro-Forma Income statement'!B18</f>
        <v>19239.119475898875</v>
      </c>
      <c r="D16" s="104">
        <f>'Pro-Forma Income statement'!C18</f>
        <v>19239.119475898875</v>
      </c>
      <c r="E16" s="156">
        <f>'Pro-Forma Income statement'!D18</f>
        <v>19239.119475898875</v>
      </c>
      <c r="F16" s="10"/>
      <c r="J16" s="11"/>
      <c r="K16" s="11"/>
      <c r="L16" s="11"/>
    </row>
    <row r="17" spans="2:12">
      <c r="B17" s="21" t="s">
        <v>221</v>
      </c>
      <c r="C17" s="104">
        <f>VLOOKUP("Depreciation",PrFFY1,14,0)</f>
        <v>7500</v>
      </c>
      <c r="D17" s="104">
        <f>VLOOKUP("Depreciation",PrFFY2,14,0)</f>
        <v>14250</v>
      </c>
      <c r="E17" s="156">
        <f>VLOOKUP("Depreciation",PrFFY3,14,0)</f>
        <v>12825.000000000002</v>
      </c>
      <c r="F17" s="10"/>
      <c r="J17" s="11"/>
      <c r="K17" s="11"/>
      <c r="L17" s="11"/>
    </row>
    <row r="18" spans="2:12" ht="10.5">
      <c r="B18" s="23" t="s">
        <v>44</v>
      </c>
      <c r="C18" s="104">
        <f>-VLOOKUP("Private Investment",'36-Mo-Fin-Pr'!B1:C600,2,FALSE)</f>
        <v>-120000</v>
      </c>
      <c r="D18" s="104">
        <v>0</v>
      </c>
      <c r="E18" s="156">
        <v>0</v>
      </c>
      <c r="F18" s="10"/>
      <c r="J18" s="11"/>
      <c r="K18" s="11"/>
      <c r="L18" s="11"/>
    </row>
    <row r="19" spans="2:12" ht="10.5">
      <c r="B19" s="23" t="s">
        <v>45</v>
      </c>
      <c r="C19" s="104">
        <v>0</v>
      </c>
      <c r="D19" s="104">
        <v>0</v>
      </c>
      <c r="E19" s="156">
        <v>0</v>
      </c>
      <c r="F19" s="10"/>
      <c r="J19" s="11"/>
      <c r="K19" s="11"/>
      <c r="L19" s="11"/>
    </row>
    <row r="20" spans="2:12" ht="10.5">
      <c r="B20" s="26" t="s">
        <v>18</v>
      </c>
      <c r="C20" s="104">
        <f>SUM(C9:C17)-C18-C19</f>
        <v>624307.29631557688</v>
      </c>
      <c r="D20" s="104">
        <f>SUM(D9:D17)-D18-D19</f>
        <v>523523.05535294884</v>
      </c>
      <c r="E20" s="156">
        <f>SUM(E9:E17)-E18-E19</f>
        <v>552555.86587300966</v>
      </c>
      <c r="F20" s="42"/>
      <c r="J20" s="11"/>
      <c r="K20" s="11"/>
      <c r="L20" s="11"/>
    </row>
    <row r="21" spans="2:12" ht="11" thickBot="1">
      <c r="B21" s="25" t="s">
        <v>19</v>
      </c>
      <c r="C21" s="153">
        <f>C7-C20</f>
        <v>-144180.88449999999</v>
      </c>
      <c r="D21" s="153">
        <f t="shared" ref="D21:E21" si="0">D7-D20</f>
        <v>-162629.73229999997</v>
      </c>
      <c r="E21" s="157">
        <f t="shared" si="0"/>
        <v>-156465.80827500002</v>
      </c>
      <c r="F21" s="42"/>
    </row>
    <row r="26" spans="2:12">
      <c r="F26" s="3"/>
    </row>
  </sheetData>
  <pageMargins left="0.7" right="0.7"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249977111117893"/>
  </sheetPr>
  <dimension ref="A1:F55"/>
  <sheetViews>
    <sheetView tabSelected="1" zoomScaleNormal="100" workbookViewId="0">
      <selection activeCell="D55" sqref="D55"/>
    </sheetView>
  </sheetViews>
  <sheetFormatPr defaultColWidth="8.81640625" defaultRowHeight="10"/>
  <cols>
    <col min="1" max="1" width="43.81640625" style="27" customWidth="1"/>
    <col min="2" max="2" width="18.26953125" style="27" bestFit="1" customWidth="1"/>
    <col min="3" max="3" width="5" style="42" customWidth="1"/>
    <col min="4" max="4" width="52" style="27" customWidth="1"/>
    <col min="5" max="5" width="14.1796875" style="27" customWidth="1"/>
    <col min="6" max="6" width="4.7265625" style="27" customWidth="1"/>
    <col min="7" max="7" width="39.453125" style="27" bestFit="1" customWidth="1"/>
    <col min="8" max="8" width="14.81640625" style="27" bestFit="1" customWidth="1"/>
    <col min="9" max="16384" width="8.81640625" style="27"/>
  </cols>
  <sheetData>
    <row r="1" spans="1:6" ht="10.5">
      <c r="A1" s="177" t="s">
        <v>39</v>
      </c>
      <c r="B1" s="177"/>
      <c r="C1" s="177"/>
      <c r="D1" s="177"/>
      <c r="E1" s="177"/>
    </row>
    <row r="2" spans="1:6" ht="12.5" customHeight="1" thickBot="1">
      <c r="A2" s="177" t="s">
        <v>133</v>
      </c>
      <c r="B2" s="177"/>
      <c r="C2" s="177"/>
      <c r="D2" s="177"/>
      <c r="E2" s="177"/>
    </row>
    <row r="3" spans="1:6" ht="11" thickBot="1">
      <c r="A3" s="117" t="s">
        <v>32</v>
      </c>
      <c r="B3" s="101" t="s">
        <v>33</v>
      </c>
      <c r="C3" s="55"/>
      <c r="D3" s="115" t="s">
        <v>108</v>
      </c>
      <c r="E3" s="54" t="s">
        <v>33</v>
      </c>
    </row>
    <row r="4" spans="1:6" ht="10.5" thickTop="1">
      <c r="A4" s="69" t="s">
        <v>99</v>
      </c>
      <c r="B4" s="69"/>
      <c r="C4" s="10"/>
      <c r="D4" s="27" t="s">
        <v>100</v>
      </c>
      <c r="E4" s="110"/>
      <c r="F4" s="69"/>
    </row>
    <row r="5" spans="1:6">
      <c r="A5" s="69" t="s">
        <v>92</v>
      </c>
      <c r="B5" s="131">
        <f>VLOOKUP("Total Current Assets",AnFixcost,2,0)</f>
        <v>50000</v>
      </c>
      <c r="C5" s="10"/>
      <c r="D5" s="27" t="s">
        <v>103</v>
      </c>
      <c r="E5" s="111">
        <v>0</v>
      </c>
      <c r="F5" s="69"/>
    </row>
    <row r="6" spans="1:6">
      <c r="A6" s="69" t="s">
        <v>97</v>
      </c>
      <c r="B6" s="102">
        <v>0</v>
      </c>
      <c r="C6" s="10"/>
      <c r="D6" s="69" t="s">
        <v>101</v>
      </c>
      <c r="E6" s="102">
        <v>0</v>
      </c>
      <c r="F6" s="69"/>
    </row>
    <row r="7" spans="1:6" ht="10.5" thickBot="1">
      <c r="A7" s="69" t="s">
        <v>98</v>
      </c>
      <c r="B7" s="102">
        <v>0</v>
      </c>
      <c r="C7" s="10"/>
      <c r="D7" s="69" t="s">
        <v>102</v>
      </c>
      <c r="E7" s="107">
        <f>B5</f>
        <v>50000</v>
      </c>
      <c r="F7" s="69"/>
    </row>
    <row r="8" spans="1:6" ht="11" thickBot="1">
      <c r="A8" s="103" t="s">
        <v>96</v>
      </c>
      <c r="B8" s="108">
        <f>SUM(B5:B7)</f>
        <v>50000</v>
      </c>
      <c r="C8" s="10"/>
      <c r="D8" s="69" t="s">
        <v>104</v>
      </c>
      <c r="E8" s="112">
        <f>SUM(E5:E7)</f>
        <v>50000</v>
      </c>
      <c r="F8" s="69"/>
    </row>
    <row r="9" spans="1:6">
      <c r="C9" s="10"/>
      <c r="D9" s="69"/>
      <c r="E9" s="102"/>
      <c r="F9" s="69"/>
    </row>
    <row r="10" spans="1:6">
      <c r="A10" s="69" t="s">
        <v>93</v>
      </c>
      <c r="B10" s="102"/>
      <c r="C10" s="10"/>
      <c r="D10" s="69" t="s">
        <v>105</v>
      </c>
      <c r="E10" s="102"/>
      <c r="F10" s="69"/>
    </row>
    <row r="11" spans="1:6" ht="10.5" thickBot="1">
      <c r="A11" s="69" t="s">
        <v>94</v>
      </c>
      <c r="B11" s="132">
        <f>VLOOKUP("private investment",AnFixcost,2,0)</f>
        <v>120000</v>
      </c>
      <c r="C11" s="10"/>
      <c r="D11" s="69" t="s">
        <v>106</v>
      </c>
      <c r="E11" s="113">
        <f>B11</f>
        <v>120000</v>
      </c>
      <c r="F11" s="69"/>
    </row>
    <row r="12" spans="1:6">
      <c r="A12" s="69"/>
      <c r="B12" s="102"/>
      <c r="C12" s="10"/>
      <c r="D12" s="118" t="s">
        <v>107</v>
      </c>
      <c r="E12" s="114">
        <f>SUM(E11)</f>
        <v>120000</v>
      </c>
      <c r="F12" s="69"/>
    </row>
    <row r="13" spans="1:6" ht="10.5">
      <c r="A13" s="105"/>
      <c r="B13" s="102"/>
      <c r="D13" s="69"/>
      <c r="F13" s="69"/>
    </row>
    <row r="14" spans="1:6" ht="11" thickBot="1">
      <c r="A14" s="105" t="s">
        <v>95</v>
      </c>
      <c r="B14" s="109">
        <f>B8+B11</f>
        <v>170000</v>
      </c>
      <c r="D14" s="103" t="s">
        <v>91</v>
      </c>
      <c r="E14" s="116">
        <f>E8+E12</f>
        <v>170000</v>
      </c>
      <c r="F14" s="69"/>
    </row>
    <row r="15" spans="1:6" ht="11" thickTop="1">
      <c r="A15" s="178" t="s">
        <v>26</v>
      </c>
      <c r="B15" s="178"/>
      <c r="C15" s="10"/>
    </row>
    <row r="16" spans="1:6" ht="11" thickBot="1">
      <c r="A16" s="177" t="s">
        <v>134</v>
      </c>
      <c r="B16" s="177"/>
      <c r="C16" s="10"/>
      <c r="D16" s="69"/>
      <c r="E16" s="69"/>
    </row>
    <row r="17" spans="1:5" ht="10.5">
      <c r="A17" s="28"/>
      <c r="B17" s="119" t="s">
        <v>33</v>
      </c>
      <c r="C17" s="10"/>
    </row>
    <row r="18" spans="1:5">
      <c r="A18" s="69" t="s">
        <v>111</v>
      </c>
      <c r="B18" s="120">
        <f>'Pro-Forma Income statement'!B10</f>
        <v>480126.4118155769</v>
      </c>
      <c r="C18" s="10"/>
    </row>
    <row r="19" spans="1:5">
      <c r="A19" s="42" t="s">
        <v>110</v>
      </c>
      <c r="B19" s="122">
        <f>'Pro-Forma Income statement'!B11</f>
        <v>271693.17683726887</v>
      </c>
      <c r="C19" s="10"/>
    </row>
    <row r="20" spans="1:5">
      <c r="A20" s="42" t="s">
        <v>109</v>
      </c>
      <c r="B20" s="122">
        <f>B18-B19</f>
        <v>208433.23497830803</v>
      </c>
      <c r="C20" s="10"/>
    </row>
    <row r="21" spans="1:5">
      <c r="A21" s="42"/>
      <c r="B21" s="104"/>
      <c r="C21" s="10"/>
    </row>
    <row r="22" spans="1:5">
      <c r="A22" s="69" t="s">
        <v>46</v>
      </c>
      <c r="B22" s="102"/>
      <c r="C22" s="10"/>
    </row>
    <row r="23" spans="1:5">
      <c r="A23" s="13" t="s">
        <v>113</v>
      </c>
      <c r="B23" s="104">
        <f>'Pro-Forma CF'!C13</f>
        <v>129999.99999999999</v>
      </c>
      <c r="C23" s="10"/>
    </row>
    <row r="24" spans="1:5" ht="10.5">
      <c r="A24" s="13" t="s">
        <v>114</v>
      </c>
      <c r="B24" s="104">
        <f>'Pro-Forma Income statement'!B16</f>
        <v>33500.000000000007</v>
      </c>
      <c r="C24" s="56"/>
    </row>
    <row r="25" spans="1:5" ht="10.5" thickBot="1">
      <c r="A25" s="13" t="s">
        <v>115</v>
      </c>
      <c r="B25" s="104">
        <f>'Pro-Forma CF'!C15</f>
        <v>38000</v>
      </c>
    </row>
    <row r="26" spans="1:5" ht="11" thickBot="1">
      <c r="A26" s="13" t="s">
        <v>116</v>
      </c>
      <c r="B26" s="104">
        <f>'Pro-Forma CF'!C16</f>
        <v>19239.119475898875</v>
      </c>
      <c r="D26" s="133" t="s">
        <v>47</v>
      </c>
      <c r="E26" s="52"/>
    </row>
    <row r="27" spans="1:5" ht="10.5" thickTop="1">
      <c r="A27" s="13" t="s">
        <v>112</v>
      </c>
      <c r="B27" s="104">
        <f>'Pro-Forma CF'!C12</f>
        <v>5000</v>
      </c>
      <c r="D27" s="134" t="s">
        <v>48</v>
      </c>
      <c r="E27" s="99">
        <f>'Pro-Forma CF'!C3</f>
        <v>0</v>
      </c>
    </row>
    <row r="28" spans="1:5">
      <c r="A28" s="13" t="s">
        <v>118</v>
      </c>
      <c r="B28" s="122">
        <f>'Pro-Forma Income statement'!$B$19</f>
        <v>7500</v>
      </c>
      <c r="D28" s="134" t="s">
        <v>49</v>
      </c>
      <c r="E28" s="99">
        <f>'Pro-Forma Income statement'!B27</f>
        <v>-24180.884499999982</v>
      </c>
    </row>
    <row r="29" spans="1:5">
      <c r="A29" s="13" t="s">
        <v>117</v>
      </c>
      <c r="B29" s="123">
        <f>SUM(B23:B28)</f>
        <v>233239.11947589889</v>
      </c>
      <c r="D29" s="135" t="s">
        <v>50</v>
      </c>
      <c r="E29" s="100">
        <f>E27+E28</f>
        <v>-24180.884499999982</v>
      </c>
    </row>
    <row r="30" spans="1:5">
      <c r="A30" s="13"/>
      <c r="B30" s="104"/>
      <c r="D30" s="134" t="s">
        <v>51</v>
      </c>
      <c r="E30" s="51"/>
    </row>
    <row r="31" spans="1:5">
      <c r="A31" s="13" t="s">
        <v>119</v>
      </c>
      <c r="B31" s="106">
        <f>B20-B29</f>
        <v>-24805.884497590858</v>
      </c>
      <c r="D31" s="135" t="s">
        <v>50</v>
      </c>
      <c r="E31" s="57"/>
    </row>
    <row r="32" spans="1:5" ht="10.5">
      <c r="A32" s="121"/>
      <c r="B32" s="69"/>
      <c r="D32" s="134" t="s">
        <v>52</v>
      </c>
      <c r="E32" s="51"/>
    </row>
    <row r="33" spans="1:5">
      <c r="A33" s="69" t="s">
        <v>120</v>
      </c>
      <c r="B33" s="124">
        <f>'Pro-Forma CF'!C10</f>
        <v>-624.99999759087586</v>
      </c>
      <c r="D33" s="136" t="s">
        <v>53</v>
      </c>
      <c r="E33" s="51"/>
    </row>
    <row r="34" spans="1:5">
      <c r="A34" s="69"/>
      <c r="B34" s="102"/>
      <c r="D34" s="137" t="s">
        <v>54</v>
      </c>
      <c r="E34" s="51"/>
    </row>
    <row r="35" spans="1:5" ht="10.5" thickBot="1">
      <c r="A35" s="69" t="s">
        <v>121</v>
      </c>
      <c r="B35" s="125">
        <f>B31-B33</f>
        <v>-24180.884499999982</v>
      </c>
      <c r="D35" s="138" t="s">
        <v>55</v>
      </c>
      <c r="E35" s="58"/>
    </row>
    <row r="36" spans="1:5" ht="11" thickTop="1">
      <c r="A36" s="178" t="s">
        <v>122</v>
      </c>
      <c r="B36" s="178"/>
    </row>
    <row r="37" spans="1:5" ht="10.5">
      <c r="A37" s="177" t="s">
        <v>134</v>
      </c>
      <c r="B37" s="177"/>
    </row>
    <row r="38" spans="1:5">
      <c r="A38" s="69"/>
    </row>
    <row r="39" spans="1:5">
      <c r="A39" s="8" t="s">
        <v>131</v>
      </c>
      <c r="B39" s="126"/>
    </row>
    <row r="40" spans="1:5">
      <c r="A40" s="8" t="s">
        <v>23</v>
      </c>
      <c r="B40" s="120">
        <f>'Pro-Forma CF'!C5</f>
        <v>480126.4118155769</v>
      </c>
    </row>
    <row r="41" spans="1:5">
      <c r="A41" s="8" t="s">
        <v>123</v>
      </c>
      <c r="B41" s="120"/>
    </row>
    <row r="42" spans="1:5">
      <c r="A42" s="8" t="s">
        <v>124</v>
      </c>
      <c r="B42" s="120">
        <f>'Pro-Forma CF'!C17</f>
        <v>7500</v>
      </c>
    </row>
    <row r="43" spans="1:5">
      <c r="A43" s="8" t="s">
        <v>125</v>
      </c>
      <c r="B43" s="140"/>
    </row>
    <row r="44" spans="1:5">
      <c r="A44" s="8" t="s">
        <v>126</v>
      </c>
      <c r="B44" s="140"/>
    </row>
    <row r="45" spans="1:5">
      <c r="A45" s="8"/>
      <c r="B45" s="127"/>
    </row>
    <row r="46" spans="1:5">
      <c r="A46" s="13" t="s">
        <v>127</v>
      </c>
      <c r="B46" s="128">
        <f>'Pro-Forma CF'!C9</f>
        <v>271693.17683726887</v>
      </c>
    </row>
    <row r="47" spans="1:5">
      <c r="A47" s="13"/>
      <c r="B47" s="104"/>
    </row>
    <row r="48" spans="1:5">
      <c r="A48" s="13" t="s">
        <v>130</v>
      </c>
      <c r="B48" s="140"/>
    </row>
    <row r="49" spans="1:3">
      <c r="A49" s="13" t="s">
        <v>128</v>
      </c>
      <c r="B49" s="104">
        <f>SUM('Pro-Forma CF'!C12:C16)</f>
        <v>225739.11947589889</v>
      </c>
    </row>
    <row r="50" spans="1:3">
      <c r="A50" s="13" t="s">
        <v>224</v>
      </c>
      <c r="B50" s="163">
        <f>'Pro-Forma Income statement'!B6</f>
        <v>-624.99999759087586</v>
      </c>
    </row>
    <row r="51" spans="1:3">
      <c r="A51" s="129" t="s">
        <v>129</v>
      </c>
      <c r="B51" s="104"/>
    </row>
    <row r="52" spans="1:3">
      <c r="A52" s="129" t="s">
        <v>132</v>
      </c>
      <c r="B52" s="104">
        <f>-'Pro-Forma CF'!C18</f>
        <v>120000</v>
      </c>
    </row>
    <row r="53" spans="1:3">
      <c r="A53" s="8"/>
      <c r="B53" s="127"/>
      <c r="C53" s="7"/>
    </row>
    <row r="54" spans="1:3">
      <c r="A54" s="8" t="s">
        <v>220</v>
      </c>
      <c r="B54" s="130">
        <f>B40-B42-B49-B52-B46-B50</f>
        <v>-144180.88449999999</v>
      </c>
      <c r="C54" s="18"/>
    </row>
    <row r="55" spans="1:3">
      <c r="A55" s="69"/>
      <c r="B55" s="69"/>
    </row>
  </sheetData>
  <mergeCells count="6">
    <mergeCell ref="A37:B37"/>
    <mergeCell ref="A36:B36"/>
    <mergeCell ref="A16:B16"/>
    <mergeCell ref="A1:E1"/>
    <mergeCell ref="A2:E2"/>
    <mergeCell ref="A15:B15"/>
  </mergeCells>
  <pageMargins left="0.2" right="0.2" top="0.5" bottom="0.25" header="0.3" footer="0.3"/>
  <pageSetup orientation="landscape" horizontalDpi="1200" verticalDpi="1200" r:id="rId1"/>
  <headerFooter>
    <oddHeader>&amp;CBusiness Financial Statement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FF00"/>
  </sheetPr>
  <dimension ref="A2:D25"/>
  <sheetViews>
    <sheetView workbookViewId="0">
      <selection activeCell="H22" sqref="H22"/>
    </sheetView>
  </sheetViews>
  <sheetFormatPr defaultRowHeight="14.5"/>
  <sheetData>
    <row r="2" spans="1:3">
      <c r="A2">
        <v>1</v>
      </c>
      <c r="B2" s="14" t="s">
        <v>26</v>
      </c>
      <c r="C2" s="14"/>
    </row>
    <row r="3" spans="1:3">
      <c r="A3">
        <v>1.1000000000000001</v>
      </c>
      <c r="B3" t="s">
        <v>20</v>
      </c>
    </row>
    <row r="4" spans="1:3">
      <c r="A4">
        <v>1.2</v>
      </c>
      <c r="B4" t="s">
        <v>21</v>
      </c>
    </row>
    <row r="5" spans="1:3">
      <c r="A5">
        <v>1.3</v>
      </c>
      <c r="B5" t="s">
        <v>7</v>
      </c>
    </row>
    <row r="6" spans="1:3">
      <c r="A6">
        <v>1.4</v>
      </c>
      <c r="B6" t="s">
        <v>8</v>
      </c>
    </row>
    <row r="7" spans="1:3">
      <c r="A7">
        <v>1.5</v>
      </c>
      <c r="B7" t="s">
        <v>27</v>
      </c>
    </row>
    <row r="9" spans="1:3">
      <c r="A9">
        <v>2</v>
      </c>
      <c r="B9" s="14" t="s">
        <v>28</v>
      </c>
      <c r="C9" s="14"/>
    </row>
    <row r="10" spans="1:3">
      <c r="A10">
        <v>2.1</v>
      </c>
      <c r="B10" t="s">
        <v>30</v>
      </c>
    </row>
    <row r="11" spans="1:3">
      <c r="A11">
        <v>2.2000000000000002</v>
      </c>
      <c r="B11" t="s">
        <v>34</v>
      </c>
    </row>
    <row r="12" spans="1:3">
      <c r="A12">
        <v>2.2999999999999998</v>
      </c>
      <c r="B12" t="s">
        <v>35</v>
      </c>
    </row>
    <row r="13" spans="1:3">
      <c r="A13">
        <v>2.4</v>
      </c>
      <c r="B13" t="s">
        <v>7</v>
      </c>
    </row>
    <row r="14" spans="1:3">
      <c r="A14">
        <v>2.5</v>
      </c>
      <c r="B14" t="s">
        <v>21</v>
      </c>
    </row>
    <row r="15" spans="1:3">
      <c r="A15">
        <v>2.6</v>
      </c>
      <c r="B15" t="s">
        <v>36</v>
      </c>
    </row>
    <row r="16" spans="1:3">
      <c r="A16">
        <v>2.7</v>
      </c>
      <c r="B16" t="s">
        <v>37</v>
      </c>
    </row>
    <row r="17" spans="1:4">
      <c r="A17">
        <v>2.8</v>
      </c>
      <c r="B17" t="s">
        <v>38</v>
      </c>
    </row>
    <row r="20" spans="1:4">
      <c r="A20" s="14">
        <v>3</v>
      </c>
      <c r="B20" s="14" t="s">
        <v>31</v>
      </c>
      <c r="C20" s="14"/>
      <c r="D20" s="14"/>
    </row>
    <row r="21" spans="1:4">
      <c r="A21">
        <v>3.1</v>
      </c>
      <c r="B21" t="s">
        <v>39</v>
      </c>
    </row>
    <row r="22" spans="1:4">
      <c r="A22">
        <v>3.2</v>
      </c>
      <c r="B22" t="s">
        <v>40</v>
      </c>
    </row>
    <row r="23" spans="1:4">
      <c r="A23">
        <v>3.3</v>
      </c>
      <c r="B23" t="s">
        <v>41</v>
      </c>
    </row>
    <row r="24" spans="1:4">
      <c r="A24">
        <v>3.4</v>
      </c>
      <c r="B24" t="s">
        <v>42</v>
      </c>
    </row>
    <row r="25" spans="1:4">
      <c r="A25">
        <v>3.5</v>
      </c>
      <c r="B2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Assumptions</vt:lpstr>
      <vt:lpstr>36-Mo-Fin-Pr</vt:lpstr>
      <vt:lpstr>Pro-Forma Income statement</vt:lpstr>
      <vt:lpstr>Pro-Forma CF</vt:lpstr>
      <vt:lpstr>Financial Statement</vt:lpstr>
      <vt:lpstr>Help Table</vt:lpstr>
      <vt:lpstr>AnFixcost</vt:lpstr>
      <vt:lpstr>PrFFY1</vt:lpstr>
      <vt:lpstr>PrFFY2</vt:lpstr>
      <vt:lpstr>PrFFY3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Yessenov, Tairzhan</dc:creator>
  <cp:lastModifiedBy>Zlatev, Vladimir</cp:lastModifiedBy>
  <cp:lastPrinted>2014-09-26T16:33:58Z</cp:lastPrinted>
  <dcterms:created xsi:type="dcterms:W3CDTF">2012-05-21T15:07:47Z</dcterms:created>
  <dcterms:modified xsi:type="dcterms:W3CDTF">2014-09-26T17:30:10Z</dcterms:modified>
</cp:coreProperties>
</file>